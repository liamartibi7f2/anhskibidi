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ổng quan" sheetId="1" r:id="rId1"/>
    <sheet name="Giao dịch" sheetId="2" r:id="rId2"/>
    <sheet name="Danh mục" sheetId="3" r:id="rId3"/>
  </sheets>
  <definedNames>
    <definedName name="GD_Ngay">'Giao dịch'!$A$5:$A$10000</definedName>
    <definedName name="GD_Loai">'Giao dịch'!$B$5:$B$10000</definedName>
    <definedName name="GD_HangMuc">'Giao dịch'!$C$5:$C$10000</definedName>
    <definedName name="GD_Nguon">'Giao dịch'!$E$5:$E$10000</definedName>
    <definedName name="GD_SoTien">'Giao dịch'!$F$5:$F$10000</definedName>
    <definedName name="GD_TinhBC">'Giao dịch'!$G$5:$G$10000</definedName>
    <definedName name="_xlnm.Print_Titles" localSheetId="1">'Giao dịch'!$4:$4</definedName>
  </definedNames>
  <calcPr calcId="191029" fullCalcOnLoad="1"/>
</workbook>
</file>

<file path=xl/sharedStrings.xml><?xml version="1.0" encoding="utf-8"?>
<sst xmlns="http://schemas.openxmlformats.org/spreadsheetml/2006/main" count="2125" uniqueCount="376">
  <si>
    <t>CASHFLOW · BÁO CÁO TÀI CHÍNH CÁ NHÂN</t>
  </si>
  <si>
    <t>Xuất ngày 18/10/2026  ·  398 giao dịch  ·  dữ liệu từ 05/10/2025 đến 18/10/2026</t>
  </si>
  <si>
    <t>NĂM</t>
  </si>
  <si>
    <t>THÁNG</t>
  </si>
  <si>
    <t>TỪ NGÀY</t>
  </si>
  <si>
    <t>ĐẾN NGÀY</t>
  </si>
  <si>
    <t>◂ Đổi ô vàng (Năm / Tháng) để xem kỳ khác — mọi số liệu bên dưới tự cập nhật</t>
  </si>
  <si>
    <t>THU NHẬP</t>
  </si>
  <si>
    <t>CHI PHÍ</t>
  </si>
  <si>
    <t>CHÊNH LỆCH (THU − CHI)</t>
  </si>
  <si>
    <t>TỶ LỆ TIẾT KIỆM</t>
  </si>
  <si>
    <t>Chênh lệch ÷ Thu nhập</t>
  </si>
  <si>
    <t>SỐ DƯ TẠI THỜI ĐIỂM XUẤT   ·   ảnh chụp từ ứng dụng, không tự cập nhật   ·   Tài sản ròng = Ngân hàng + Tiền mặt + Chưa phân loại</t>
  </si>
  <si>
    <t>TÀI SẢN RÒNG</t>
  </si>
  <si>
    <t>TIẾT KIỆM / ĐẦU TƯ</t>
  </si>
  <si>
    <t>NGÂN HÀNG</t>
  </si>
  <si>
    <t>TIỀN MẶT</t>
  </si>
  <si>
    <t>CHƯA PHÂN LOẠI</t>
  </si>
  <si>
    <t>NỢ CHO VAY (CHỜ THU)</t>
  </si>
  <si>
    <t>Tháng</t>
  </si>
  <si>
    <t>Thu nhập</t>
  </si>
  <si>
    <t>Chi phí</t>
  </si>
  <si>
    <t>Chênh lệch</t>
  </si>
  <si>
    <t>Tiết kiệm %</t>
  </si>
  <si>
    <t>Lũy kế</t>
  </si>
  <si>
    <t>Cả năm</t>
  </si>
  <si>
    <t>Hạng mục</t>
  </si>
  <si>
    <t>Số tiền</t>
  </si>
  <si>
    <t>% tổng chi</t>
  </si>
  <si>
    <t>Ngân sách / tháng</t>
  </si>
  <si>
    <t>% ngân sách kỳ</t>
  </si>
  <si>
    <t>🏠 Housing</t>
  </si>
  <si>
    <t>🍜 Food &amp; Dining</t>
  </si>
  <si>
    <t>🛵 Transportation</t>
  </si>
  <si>
    <t>🛒 Essentials</t>
  </si>
  <si>
    <t>🛍️ Other Shopping</t>
  </si>
  <si>
    <t>🎮 Entertainment</t>
  </si>
  <si>
    <t>❤️ Giving &amp; Charity</t>
  </si>
  <si>
    <t>📚 Self-Development</t>
  </si>
  <si>
    <t>🩺 Healthcare</t>
  </si>
  <si>
    <t>🏷️ Other Expenses</t>
  </si>
  <si>
    <t>Khác (chưa xếp hạng mục)</t>
  </si>
  <si>
    <t>Tổng chi phí</t>
  </si>
  <si>
    <t>% tổng thu</t>
  </si>
  <si>
    <t>Số giao dịch</t>
  </si>
  <si>
    <t>Trung bình / GD</t>
  </si>
  <si>
    <t>Nguồn tiền</t>
  </si>
  <si>
    <t>💰 Salary</t>
  </si>
  <si>
    <t>Tiền mặt</t>
  </si>
  <si>
    <t>📈 Business &amp; Investment</t>
  </si>
  <si>
    <t>Chuyển khoản</t>
  </si>
  <si>
    <t>📈 Interest &amp; Dividends</t>
  </si>
  <si>
    <t>Tiết kiệm</t>
  </si>
  <si>
    <t>💎 Passive Income</t>
  </si>
  <si>
    <t>Chưa phân loại</t>
  </si>
  <si>
    <t>🎁 Allowance &amp; Gifts</t>
  </si>
  <si>
    <t>Tổng cộng</t>
  </si>
  <si>
    <t>💵 Other Income</t>
  </si>
  <si>
    <t>Tính mọi giao dịch, kể cả chuyển tiết kiệm nội bộ và thu hồi nợ.</t>
  </si>
  <si>
    <t>Tổng thu nhập</t>
  </si>
  <si>
    <t>GHI CHÚ</t>
  </si>
  <si>
    <t>•  Thu nhập / Chi phí chỉ tính các giao dịch có cột «Tính báo cáo» khác "Không" (loại trừ chuyển tiền tiết kiệm nội bộ và thu hồi nợ) — giống cách ứng dụng tính.</t>
  </si>
  <si>
    <t>•  Mọi số liệu là công thức: sửa, thêm, xóa dòng ở sheet «Giao dịch» (hoặc đổi Năm / Tháng ở ô vàng phía trên) là báo cáo và biểu đồ tự cập nhật.</t>
  </si>
  <si>
    <t>•  Ô nền vàng, chữ xanh là ô nhập liệu (Năm, Tháng, Ngân sách / tháng). Ô «% ngân sách kỳ» chuyển vàng khi dùng trên 85% và đỏ khi vượt ngân sách.</t>
  </si>
  <si>
    <t>•  Có thể nhập lại chính file này vào ứng dụng bằng nút Nhập Excel — ứng dụng đọc sheet «Giao dịch».</t>
  </si>
  <si>
    <t>DANH SÁCH GIAO DỊCH</t>
  </si>
  <si>
    <t>Đang hiển thị</t>
  </si>
  <si>
    <t>Tổng giá trị theo bộ lọc (Thu + Chi)</t>
  </si>
  <si>
    <t>Mẹo: bấm mũi tên ở tiêu đề cột để lọc / sắp xếp (lọc Loại = Chi phí để xem tổng chi). Thêm giao dịch bằng cách nhập dòng mới ngay dưới bảng.</t>
  </si>
  <si>
    <t>Ngày</t>
  </si>
  <si>
    <t>Loại</t>
  </si>
  <si>
    <t>Mô tả</t>
  </si>
  <si>
    <t>Nguồn</t>
  </si>
  <si>
    <t>Tính báo cáo</t>
  </si>
  <si>
    <t>Bánh bao</t>
  </si>
  <si>
    <t>Có</t>
  </si>
  <si>
    <t>Sữa đậu nành</t>
  </si>
  <si>
    <t>Ăn cơm quán ngã 3</t>
  </si>
  <si>
    <t>Bánh mì</t>
  </si>
  <si>
    <t>Cơm tại quá ngã 3</t>
  </si>
  <si>
    <t>Thằng Hưng cho tiền</t>
  </si>
  <si>
    <t>Tiền bài tập</t>
  </si>
  <si>
    <t>Thuê số</t>
  </si>
  <si>
    <t>Tiền ăn cơm</t>
  </si>
  <si>
    <t>Tiền gửi xe</t>
  </si>
  <si>
    <t>Tiền ăn cơm 25k</t>
  </si>
  <si>
    <t>Tiền số thuê tada</t>
  </si>
  <si>
    <t>Tiền đổ xăng cả 2 thằng</t>
  </si>
  <si>
    <t>🤝 Thu nợ</t>
  </si>
  <si>
    <t>Thu nợ: Trả nợ Hưng - Tiền</t>
  </si>
  <si>
    <t>Không</t>
  </si>
  <si>
    <t>Ăn cơm 25k</t>
  </si>
  <si>
    <t>Tiền Bánh mì tứng</t>
  </si>
  <si>
    <t>Cà phê muối december</t>
  </si>
  <si>
    <t>Bún dọc thịt mùng</t>
  </si>
  <si>
    <t>mua bánh bao 2 lần ăn trưa và sáng</t>
  </si>
  <si>
    <t>TIền ăn cơm</t>
  </si>
  <si>
    <t>Thu nợ: Tiền mạng ông Đông</t>
  </si>
  <si>
    <t>Thằng hoàng nợ tiền</t>
  </si>
  <si>
    <t>Tiền mạng viettle</t>
  </si>
  <si>
    <t>Tiền nước lọc</t>
  </si>
  <si>
    <t>tiền bài tập</t>
  </si>
  <si>
    <t>bánh bao</t>
  </si>
  <si>
    <t>Cơm 25k</t>
  </si>
  <si>
    <t>Xăng xe</t>
  </si>
  <si>
    <t>Xôi ở trường</t>
  </si>
  <si>
    <t>Cơm 25k ở nhà</t>
  </si>
  <si>
    <t>tiền ăn bún</t>
  </si>
  <si>
    <t>Tiền bính bao</t>
  </si>
  <si>
    <t>Tiền ăn phở gà</t>
  </si>
  <si>
    <t>Tiền trợ cấp anh Phúc</t>
  </si>
  <si>
    <t>Đóng tiền trọ</t>
  </si>
  <si>
    <t>Tiền ăn cơm ở quán 25k</t>
  </si>
  <si>
    <t>Tiền ăn sáng bánh bao</t>
  </si>
  <si>
    <t>Bún đậu</t>
  </si>
  <si>
    <t>Thu nợ: Tiền trả nợ từ Hưng</t>
  </si>
  <si>
    <t>🐷 Withdraw from Savings</t>
  </si>
  <si>
    <t>Tiền Tiết Kiệm vào Momo</t>
  </si>
  <si>
    <t>Gửi tiền tiết kiệm vào Momo</t>
  </si>
  <si>
    <t>Tiền sử dụng trả hàng shopee</t>
  </si>
  <si>
    <t>Cho hoàng mượn tiền còn thiếu 20k</t>
  </si>
  <si>
    <t>Xôi</t>
  </si>
  <si>
    <t>Bánh mì sau hubt</t>
  </si>
  <si>
    <t>Tiền bóp lưng cho khánh già</t>
  </si>
  <si>
    <t>Ăn gì đó</t>
  </si>
  <si>
    <t>Ăn ngoài</t>
  </si>
  <si>
    <t>Tiền làm bài tập</t>
  </si>
  <si>
    <t>Hải xòm bài tập</t>
  </si>
  <si>
    <t>Tiền đi điếu bà của Doanh Chính Kiên rô mà mình hay tập trên đó ở quê</t>
  </si>
  <si>
    <t>Thử bánh mì mới</t>
  </si>
  <si>
    <t>Bánh mì quán sau hubt</t>
  </si>
  <si>
    <t>Dodad</t>
  </si>
  <si>
    <t>Nước lọc</t>
  </si>
  <si>
    <t>Bánh bao phô mai</t>
  </si>
  <si>
    <t>Fat bot thuê só điện thoại shopee</t>
  </si>
  <si>
    <t>Tiền bài tập từ Chu San Ý</t>
  </si>
  <si>
    <t>Bánh mì 12k cổng sau trường</t>
  </si>
  <si>
    <t>Tiền ăn tại quán cơm 25k</t>
  </si>
  <si>
    <t>Áo mưa</t>
  </si>
  <si>
    <t>Xôi pate 20k quán phía sau cổng trường hubt</t>
  </si>
  <si>
    <t>cơm 25k tiết kiệm</t>
  </si>
  <si>
    <t>Tiền Xăng xe</t>
  </si>
  <si>
    <t>Bún cá quán cũ</t>
  </si>
  <si>
    <t>Quán cơm 25k cũ</t>
  </si>
  <si>
    <t>Tiền làm bài tập trên lớp</t>
  </si>
  <si>
    <t>Tiền ăn cơm 30k ở gần trọ Nguyễn Đức Cảnh test hacking bad</t>
  </si>
  <si>
    <t>ăn trưa tại quán 25k cũ</t>
  </si>
  <si>
    <t>quán cơm 30k ngon gần nhà nhưng có tí nhược điểm</t>
  </si>
  <si>
    <t>Tấm lòng cho của cô Mừng,Nụ,Nga</t>
  </si>
  <si>
    <t>Bánh Mì ngõ gốc đề</t>
  </si>
  <si>
    <t>Tiền ăn korea oppa và cái gì đó lạ ở quán với meo meo và caso</t>
  </si>
  <si>
    <t>Tiền bài tập làm slide cho Hải xòm</t>
  </si>
  <si>
    <t>Tiền ăn bánh mì ở cổng trường sau</t>
  </si>
  <si>
    <t>Tiền xăng đi chơi tới Cầu giấy với meo meo và a công</t>
  </si>
  <si>
    <t>Tiền gửi xe in school</t>
  </si>
  <si>
    <t>Tiền Ăn bánh mi 12 cổng trường sau</t>
  </si>
  <si>
    <t>Tiền ăn cơm quán 25k hôm qua</t>
  </si>
  <si>
    <t>Thu nợ từ Tiền ăn + tiền xăng chia đôi của Hưng - Sử dụng tiền này thu lại của bản thân mình</t>
  </si>
  <si>
    <t>Ăn quán 25k skibidi cơm ngon ở ngã 3</t>
  </si>
  <si>
    <t>Fat bot quay số cho shopee</t>
  </si>
  <si>
    <t>Tiền xăng đổ cho xe em Thái sử dụng</t>
  </si>
  <si>
    <t>Tiền Đinh</t>
  </si>
  <si>
    <t>Ăn cơm 25k tại quán 25k</t>
  </si>
  <si>
    <t>Tổng tiền gửi xe ở trường hiện tại</t>
  </si>
  <si>
    <t>Tiền bài tập từ các bạn ở đại học</t>
  </si>
  <si>
    <t>Thu nợ từ Tiền Xăng + tiền - Tiền xăng + tiền nước</t>
  </si>
  <si>
    <t>Bánh Mì</t>
  </si>
  <si>
    <t>Ăn ngoài quán 25k</t>
  </si>
  <si>
    <t>Máy rửa xe</t>
  </si>
  <si>
    <t>Tiền Xăng</t>
  </si>
  <si>
    <t>Tiền nước lọc thay bình</t>
  </si>
  <si>
    <t>Thu nợ từ Tiền ăn trọ cũ Hưng - Tiền ăn ơ quán ngã 3 25k cũ</t>
  </si>
  <si>
    <t>Thu nợ từ Tiền HƯng Debt xu kem + bánh mì - Ăn xu kem bánh mì tại ngõ gốc đề</t>
  </si>
  <si>
    <t>Thu nợ từ Tiền Hòa mạng nợ của Hưng - Tiền hòa mạng</t>
  </si>
  <si>
    <t>Thu nợ từ Tiền bánh bao - Tiền bánh bao 13k tại quán gần gốc đề lúc nãy</t>
  </si>
  <si>
    <t>Thu nợ từ Tiền Ăn cơm tại quán 25k - Tiền ăn quán 25k</t>
  </si>
  <si>
    <t>Tiền Bánh bao</t>
  </si>
  <si>
    <t>Tiền Bánh mì + xu kem ở gần ngõ gốc đề nhà HƯng</t>
  </si>
  <si>
    <t>Tiền từng nợ Hưng</t>
  </si>
  <si>
    <t>Tiền Lắp Hòa Mạng Wifi</t>
  </si>
  <si>
    <t>Tiền ăn bên ngoài 25k</t>
  </si>
  <si>
    <t>Tiền nồi cơm</t>
  </si>
  <si>
    <t>Ăn bún Bò cua óc ở quán cô Hằng</t>
  </si>
  <si>
    <t>Trả nợ ăn bún của cô Hạnh</t>
  </si>
  <si>
    <t>Xôi ở quán sau trường hubt</t>
  </si>
  <si>
    <t>Tiền quán ăn tại 25k ở trọ cũ</t>
  </si>
  <si>
    <t>Tìm lại được 500k tưởng dùng rồi</t>
  </si>
  <si>
    <t>Tiền ăn ngoài</t>
  </si>
  <si>
    <t>Thu nợ từ Tiền bún Hưng - 4 bát bún ngon siêu ơ luôn đó nha</t>
  </si>
  <si>
    <t>Thu nợ từ Bún Riêu cua Hưng - Bún riêu cua</t>
  </si>
  <si>
    <t>Thu nợ từ Tiền xăng của cả 2 Hưng Đức - Tiền xăng đi học của 2 thằng ở cùng trọ</t>
  </si>
  <si>
    <t>Thu nợ từ Tiền Hưng nợ ăn tại quán 25k quen thuộc - Tiền này là tiền của mình và mình cần thu từ ấy để có thể có tiền sử dụng của mình được không cho được đâu nhé.</t>
  </si>
  <si>
    <t>Thu nợ từ Linh Mượn tiền xe - TIền xe để đi về khởi trường bằng tiền mặt</t>
  </si>
  <si>
    <t>Tiền Vá Xăm Xe Máy</t>
  </si>
  <si>
    <t>Tiền Ăn Riêu Cua Bún</t>
  </si>
  <si>
    <t>phở gà mix bò 2 bát siêu ngon</t>
  </si>
  <si>
    <t>Thu nợ từ Mark for New Hung - Tiền Nợ cần thiết để đi thuê nhà trọ với Hưng trả sau.</t>
  </si>
  <si>
    <t>Tiền a Phúc cho đóng trọ và tiền ăn phụ cấp học đại học</t>
  </si>
  <si>
    <t>Tiền ăn bún</t>
  </si>
  <si>
    <t>Tiền sửa điện thoại + đổi 200k tiền mặt vì hỏng máy không thể chuyển khoản</t>
  </si>
  <si>
    <t>idk</t>
  </si>
  <si>
    <t>Xôi tứng</t>
  </si>
  <si>
    <t>Công money gấu</t>
  </si>
  <si>
    <t>Tiền nợ Nguyễn Duy Hưng</t>
  </si>
  <si>
    <t>Bài tập</t>
  </si>
  <si>
    <t>Xôi Tứng</t>
  </si>
  <si>
    <t>Bim Bim</t>
  </si>
  <si>
    <t>Slide Hải Sòm</t>
  </si>
  <si>
    <t>Tiền gọi</t>
  </si>
  <si>
    <t>Tiền bún</t>
  </si>
  <si>
    <t>Ăn ngã 3</t>
  </si>
  <si>
    <t>Dưa hấu</t>
  </si>
  <si>
    <t>Affilate</t>
  </si>
  <si>
    <t>Ăn bún cá chuẩn bị hack</t>
  </si>
  <si>
    <t>Bưu điện</t>
  </si>
  <si>
    <t>Tiền a Trung</t>
  </si>
  <si>
    <t>Tiền Hưng</t>
  </si>
  <si>
    <t>Daddi Hiếu</t>
  </si>
  <si>
    <t>Bài Tập Chị Trang</t>
  </si>
  <si>
    <t>Phone X</t>
  </si>
  <si>
    <t>Khánh Già</t>
  </si>
  <si>
    <t>Giấy in khoa học</t>
  </si>
  <si>
    <t>Ăn Ngoài</t>
  </si>
  <si>
    <t>Tiền xăng</t>
  </si>
  <si>
    <t>Bún cá hết hack</t>
  </si>
  <si>
    <t>Nước giải nhiệt</t>
  </si>
  <si>
    <t>Photo</t>
  </si>
  <si>
    <t>Ăn cơm ngã 3</t>
  </si>
  <si>
    <t>Nước mía</t>
  </si>
  <si>
    <t>Xăng no only one</t>
  </si>
  <si>
    <t>Bún cá ngoài cùng</t>
  </si>
  <si>
    <t>Đậu tương đua tiền</t>
  </si>
  <si>
    <t>Tiền ship</t>
  </si>
  <si>
    <t>Tiền Ship</t>
  </si>
  <si>
    <t>Dây lái</t>
  </si>
  <si>
    <t>Ăn ngoài ngã 3</t>
  </si>
  <si>
    <t>Nồi cơm em thắng</t>
  </si>
  <si>
    <t>bánh mì pate 2 trứng</t>
  </si>
  <si>
    <t>Sách tiếng anh HA456</t>
  </si>
  <si>
    <t>Sus at First Bún cá</t>
  </si>
  <si>
    <t>Tiền điện thoại</t>
  </si>
  <si>
    <t>Cơm ngã 3</t>
  </si>
  <si>
    <t>Xăng đi xe</t>
  </si>
  <si>
    <t>bài tập</t>
  </si>
  <si>
    <t>Ăn quá ngã 3</t>
  </si>
  <si>
    <t>Tiền làm bài tập Tin 3</t>
  </si>
  <si>
    <t>Ăn ngoài quán ngã 3</t>
  </si>
  <si>
    <t>Cho anh lương mượn 200k</t>
  </si>
  <si>
    <t>Tiền For Mom</t>
  </si>
  <si>
    <t>Bài Tập</t>
  </si>
  <si>
    <t>Ăn bún cá</t>
  </si>
  <si>
    <t>Mr.Phúc</t>
  </si>
  <si>
    <t>Tiền bút + Vé xe lone</t>
  </si>
  <si>
    <t>Tiền xăng chia đôi</t>
  </si>
  <si>
    <t>Tiền trọ tháng cuối</t>
  </si>
  <si>
    <t>Bún cá cổng sau</t>
  </si>
  <si>
    <t>Hướng dương + Trà Bạc Hà tại Tiệm trà truyện</t>
  </si>
  <si>
    <t>Bát phở 3 đồng ( Ăn bát phở chạy 3 đường)</t>
  </si>
  <si>
    <t>Trần Duy Hưng Heavenly</t>
  </si>
  <si>
    <t>Ăn Ngoài ngã 3</t>
  </si>
  <si>
    <t>Tiền Grab đi qua lấy xe a Tuấn</t>
  </si>
  <si>
    <t>Tiền Ăn cơm rang thập cẩm</t>
  </si>
  <si>
    <t>Xe Sirius Yamaha 2007</t>
  </si>
  <si>
    <t>Tiền tài xế grab ruấn già</t>
  </si>
  <si>
    <t>Tiền ăn bún cô Trangg</t>
  </si>
  <si>
    <t>Ăn ngoài gần ngã 3</t>
  </si>
  <si>
    <t>Tiền bán xe đạp điện</t>
  </si>
  <si>
    <t>Tiền I/c máy tính</t>
  </si>
  <si>
    <t>Tiền cháo</t>
  </si>
  <si>
    <t>Mixue</t>
  </si>
  <si>
    <t>Bánh bao circle</t>
  </si>
  <si>
    <t>Tiền áo Gile</t>
  </si>
  <si>
    <t>Tiền cam</t>
  </si>
  <si>
    <t>Trứng + cà rốt + rau muống + chuối + nấm</t>
  </si>
  <si>
    <t>Nước lọt</t>
  </si>
  <si>
    <t>Tiền cuộc thi rung chim</t>
  </si>
  <si>
    <t>Tiền bài tập cho bạn Trang</t>
  </si>
  <si>
    <t>Fat bot</t>
  </si>
  <si>
    <t>Tiên gửi xe khi đi chơi với Hiếu</t>
  </si>
  <si>
    <t>Mua nước cho Thắng</t>
  </si>
  <si>
    <t>Tiền mua trứng</t>
  </si>
  <si>
    <t>Nước uống mixue tại Đền Lừ study</t>
  </si>
  <si>
    <t>Cà chua + dưa chuột + chanh</t>
  </si>
  <si>
    <t>Cam + trứng + hạt nêm</t>
  </si>
  <si>
    <t>Phi Thận</t>
  </si>
  <si>
    <t>Tiền dì Hiền</t>
  </si>
  <si>
    <t>Tiền Cô Nụ + Nga + Mừng</t>
  </si>
  <si>
    <t>Khoai + cà rốt + mận</t>
  </si>
  <si>
    <t>tiền mua nồi cơm</t>
  </si>
  <si>
    <t>Tiền trọ tháng này</t>
  </si>
  <si>
    <t>Move on lên nhà cô Nụ</t>
  </si>
  <si>
    <t>Cô nga cho money</t>
  </si>
  <si>
    <t>Rau + thịt pig siêu thị +....</t>
  </si>
  <si>
    <t>Cà chua</t>
  </si>
  <si>
    <t>Nước lọt + quýt + trứng +rau</t>
  </si>
  <si>
    <t>Mì tôm</t>
  </si>
  <si>
    <t>Cháo + hành,tỏi,khoai giá</t>
  </si>
  <si>
    <t>Tứng + cà chua + hành + rau</t>
  </si>
  <si>
    <t>Ăn ngoài + nước lọt</t>
  </si>
  <si>
    <t>Rau</t>
  </si>
  <si>
    <t>Ăn ngoài thịt nướng</t>
  </si>
  <si>
    <t>Ăn trưa</t>
  </si>
  <si>
    <t>Trứng + rau + ớt + cam</t>
  </si>
  <si>
    <t>Tiền mua mixue</t>
  </si>
  <si>
    <t>Trứng + giá + hành + cà chua</t>
  </si>
  <si>
    <t>Ăn ngoài + cà chua + cà rốt + ớt</t>
  </si>
  <si>
    <t>Tiền áo khoác</t>
  </si>
  <si>
    <t>Tiền Stocks</t>
  </si>
  <si>
    <t>tiền ship</t>
  </si>
  <si>
    <t>Trứng + rau cải + cam + cà chua</t>
  </si>
  <si>
    <t>Xích Dog</t>
  </si>
  <si>
    <t>Tiền cho anh Lương qua a Phúc</t>
  </si>
  <si>
    <t>Tiền xôi + nước đậu lành</t>
  </si>
  <si>
    <t>Tiền lương tại Deepsii</t>
  </si>
  <si>
    <t>Tiền lươn Deepsii chưa nhận</t>
  </si>
  <si>
    <t>Ăn ngoài chiều 3 món</t>
  </si>
  <si>
    <t>Trà chanh bất đắc dĩ</t>
  </si>
  <si>
    <t>Tiền ship đồ ra Quảng ninh cho mr Phúc</t>
  </si>
  <si>
    <t>Trứng + rau + cam</t>
  </si>
  <si>
    <t>tiền dịch thuật giấy đăng ký</t>
  </si>
  <si>
    <t>tiền công chứng</t>
  </si>
  <si>
    <t>ăn ngoài quán</t>
  </si>
  <si>
    <t>Ăn ngoài với friend</t>
  </si>
  <si>
    <t>Proxy</t>
  </si>
  <si>
    <t>Ăn ngoài quán</t>
  </si>
  <si>
    <t>bánh mì trứng</t>
  </si>
  <si>
    <t>Khoai + Tỏi+ Chanh</t>
  </si>
  <si>
    <t>Mua tut từ thằng Okyo</t>
  </si>
  <si>
    <t>Tiền ăn sáng ôn thi với Hưng, Thắng, Công</t>
  </si>
  <si>
    <t>Trả giá vì lừa thằng Thường</t>
  </si>
  <si>
    <t>Mua đồ nấu ăncam + trứng + rau cải + chanh)</t>
  </si>
  <si>
    <t>Mua cháo ăn sáng</t>
  </si>
  <si>
    <t>Cắt Tock</t>
  </si>
  <si>
    <t>Thịt Nợn + Nấm chim căm</t>
  </si>
  <si>
    <t>Ăn với Thắng, Công</t>
  </si>
  <si>
    <t>Tiền cấp anh Phúc</t>
  </si>
  <si>
    <t>Ăn quán bún với Vủ</t>
  </si>
  <si>
    <t>Ổ cắm</t>
  </si>
  <si>
    <t>Thịt pig</t>
  </si>
  <si>
    <t>Phi thần</t>
  </si>
  <si>
    <t>Ăn Ngoài quán</t>
  </si>
  <si>
    <t>Đậu Tương + Thịt Nợn</t>
  </si>
  <si>
    <t>Khẩu Trang</t>
  </si>
  <si>
    <t>Thịt Lợn + dưa muối</t>
  </si>
  <si>
    <t>Đi qua Từ Sơn thi lại GDTC</t>
  </si>
  <si>
    <t>Phi Thần</t>
  </si>
  <si>
    <t>Tiền lừa ko được tg Ân</t>
  </si>
  <si>
    <t>Quán cô Hạnh</t>
  </si>
  <si>
    <t>Bếp Điện</t>
  </si>
  <si>
    <t>Meat Lợn</t>
  </si>
  <si>
    <t>Nước Lọc</t>
  </si>
  <si>
    <t>Di chuyển bằng Grab</t>
  </si>
  <si>
    <t>Ăn Buffee Pizza cùng meo và caso</t>
  </si>
  <si>
    <t>Grab</t>
  </si>
  <si>
    <t>Chuối + nước</t>
  </si>
  <si>
    <t>THịt pig</t>
  </si>
  <si>
    <t>Đặt đơn tuỳ tâm</t>
  </si>
  <si>
    <t>Tiền nước</t>
  </si>
  <si>
    <t>Dao cạo râu + Dầu rửa chén</t>
  </si>
  <si>
    <t>Rau + 5 gói cháo</t>
  </si>
  <si>
    <t>Tiền grab + bus</t>
  </si>
  <si>
    <t>Cô Mừng</t>
  </si>
  <si>
    <t>Rau + nước lọc</t>
  </si>
  <si>
    <t>Tiền trọ</t>
  </si>
  <si>
    <t>Hàng + thẻ sivi + rau</t>
  </si>
  <si>
    <t>Rau + chìa khóa</t>
  </si>
  <si>
    <t>mua đồ cần thiết đầu tháng mới tết xong</t>
  </si>
  <si>
    <t>Rau + ăn ngoài + nước</t>
  </si>
  <si>
    <t>Số tiền hòa vốn MB bank</t>
  </si>
  <si>
    <t>DANH MỤC &amp; HƯỚNG DẪN</t>
  </si>
  <si>
    <t>🐷 Transfer to Savings</t>
  </si>
  <si>
    <t>CÁCH DÙNG</t>
  </si>
  <si>
    <t>•  Các cột Loại, Hạng mục, Nguồn, Tính báo cáo ở sheet «Giao dịch» có danh sách chọn lấy từ trang này.</t>
  </si>
  <si>
    <t>•  Hạng mục lạ (không có trong danh sách) vẫn được giữ nguyên khi nhập lại vào ứng dụng, nhưng báo cáo Tổng quan sẽ xếp vào dòng «Khác».</t>
  </si>
  <si>
    <t>•  «Tính báo cáo = Không» dành cho chuyển tiền tiết kiệm nội bộ và thu hồi nợ — không phải thu nhập hay chi phí thật.</t>
  </si>
  <si>
    <t>•  Công thức dùng các tên vùng GD_Ngay, GD_Loai, GD_HangMuc, GD_Nguon, GD_SoTien, GD_TinhBC (xem Formulas ▸ Name Manager), phủ đến dòng 10000.</t>
  </si>
</sst>
</file>

<file path=xl/styles.xml><?xml version="1.0" encoding="utf-8"?>
<styleSheet xmlns="http://schemas.openxmlformats.org/spreadsheetml/2006/main">
  <numFmts count="7">
    <numFmt numFmtId="164" formatCode="dd/mm/yyyy"/>
    <numFmt numFmtId="165" formatCode="&quot;Tháng &quot;0"/>
    <numFmt numFmtId="166" formatCode="#,##0;[Red]-#,##0;&quot;–&quot;"/>
    <numFmt numFmtId="167" formatCode="#,##0;-#,##0;&quot;–&quot;"/>
    <numFmt numFmtId="168" formatCode="0.0%;[Red]-0.0%;&quot;–&quot;"/>
    <numFmt numFmtId="169" formatCode="#,##0&quot; ₫&quot;;[Red]-#,##0&quot; ₫&quot;;&quot;–&quot;"/>
    <numFmt numFmtId="170" formatCode="#,##0&quot; giao dịch&quot;"/>
  </numFmts>
  <fonts count="27">
    <font>
      <sz val="10"/>
      <color rgb="FF1F2937"/>
      <name val="Arial"/>
      <family val="2"/>
    </font>
    <font>
      <b/>
      <sz val="20"/>
      <color rgb="FFFFFFFF"/>
      <name val="Arial"/>
      <family val="2"/>
    </font>
    <font>
      <sz val="10"/>
      <color rgb="FFC8D0E0"/>
      <name val="Arial"/>
      <family val="2"/>
    </font>
    <font>
      <b/>
      <sz val="9"/>
      <color rgb="FF6B7686"/>
      <name val="Arial"/>
      <family val="2"/>
    </font>
    <font>
      <b/>
      <sz val="11"/>
      <color rgb="FF0000FF"/>
      <name val="Arial"/>
      <family val="2"/>
    </font>
    <font>
      <b/>
      <sz val="10"/>
      <color rgb="FF1F2937"/>
      <name val="Arial"/>
      <family val="2"/>
    </font>
    <font>
      <i/>
      <sz val="9"/>
      <color rgb="FF6B7686"/>
      <name val="Arial"/>
      <family val="2"/>
    </font>
    <font>
      <b/>
      <sz val="11"/>
      <color rgb="FF1F2A44"/>
      <name val="Arial"/>
      <family val="2"/>
    </font>
    <font>
      <b/>
      <sz val="9"/>
      <color rgb="FFFFFFFF"/>
      <name val="Arial"/>
      <family val="2"/>
    </font>
    <font>
      <sz val="10"/>
      <color rgb="FF1F2937"/>
      <name val="Arial"/>
      <family val="2"/>
    </font>
    <font>
      <sz val="10"/>
      <color rgb="FF0000FF"/>
      <name val="Arial"/>
      <family val="2"/>
    </font>
    <font>
      <b/>
      <sz val="10"/>
      <color rgb="FF1F2A44"/>
      <name val="Arial"/>
      <family val="2"/>
    </font>
    <font>
      <sz val="9"/>
      <color rgb="FF6B7686"/>
      <name val="Arial"/>
      <family val="2"/>
    </font>
    <font>
      <b/>
      <sz val="20"/>
      <color rgb="FF12805C"/>
      <name val="Arial"/>
      <family val="2"/>
    </font>
    <font>
      <b/>
      <sz val="20"/>
      <color rgb="FFC0392B"/>
      <name val="Arial"/>
      <family val="2"/>
    </font>
    <font>
      <b/>
      <sz val="20"/>
      <color rgb="FF0E7C86"/>
      <name val="Arial"/>
      <family val="2"/>
    </font>
    <font>
      <b/>
      <sz val="20"/>
      <color rgb="FFB7791F"/>
      <name val="Arial"/>
      <family val="2"/>
    </font>
    <font>
      <b/>
      <sz val="8"/>
      <color rgb="FF6B7686"/>
      <name val="Arial"/>
      <family val="2"/>
    </font>
    <font>
      <b/>
      <sz val="13"/>
      <color rgb="FF1F2A44"/>
      <name val="Arial"/>
      <family val="2"/>
    </font>
    <font>
      <b/>
      <sz val="13"/>
      <color rgb="FFB7791F"/>
      <name val="Arial"/>
      <family val="2"/>
    </font>
    <font>
      <b/>
      <sz val="13"/>
      <color rgb="FF0E7C86"/>
      <name val="Arial"/>
      <family val="2"/>
    </font>
    <font>
      <b/>
      <sz val="13"/>
      <color rgb="FF12805C"/>
      <name val="Arial"/>
      <family val="2"/>
    </font>
    <font>
      <b/>
      <sz val="13"/>
      <color rgb="FF6B7686"/>
      <name val="Arial"/>
      <family val="2"/>
    </font>
    <font>
      <b/>
      <sz val="13"/>
      <color rgb="FFC0392B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4F6F9"/>
        <bgColor indexed="64"/>
      </patternFill>
    </fill>
  </fills>
  <borders count="14">
    <border>
      <left/>
      <right/>
      <top/>
      <bottom/>
      <diagonal/>
    </border>
    <border>
      <left style="thin">
        <color rgb="FFE0B84C"/>
      </left>
      <right style="thin">
        <color rgb="FFE0B84C"/>
      </right>
      <top style="thin">
        <color rgb="FFE0B84C"/>
      </top>
      <bottom style="thin">
        <color rgb="FFE0B84C"/>
      </bottom>
      <diagonal/>
    </border>
    <border>
      <left/>
      <right/>
      <top/>
      <bottom style="thin">
        <color rgb="FFD9DEE5"/>
      </bottom>
      <diagonal/>
    </border>
    <border>
      <left/>
      <right/>
      <top/>
      <bottom style="medium">
        <color rgb="FF0E7C86"/>
      </bottom>
      <diagonal/>
    </border>
    <border>
      <left/>
      <right/>
      <top style="thin">
        <color rgb="FF1F2A44"/>
      </top>
      <bottom style="thin">
        <color rgb="FF1F2A44"/>
      </bottom>
      <diagonal/>
    </border>
    <border>
      <left/>
      <right/>
      <top style="medium">
        <color rgb="FF12805C"/>
      </top>
      <bottom/>
      <diagonal/>
    </border>
    <border>
      <left/>
      <right/>
      <top style="medium">
        <color rgb="FFC0392B"/>
      </top>
      <bottom/>
      <diagonal/>
    </border>
    <border>
      <left/>
      <right/>
      <top style="medium">
        <color rgb="FF0E7C86"/>
      </top>
      <bottom/>
      <diagonal/>
    </border>
    <border>
      <left/>
      <right/>
      <top style="medium">
        <color rgb="FFB7791F"/>
      </top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medium">
        <color rgb="FFB7791F"/>
      </bottom>
      <diagonal/>
    </border>
    <border>
      <left/>
      <right/>
      <top/>
      <bottom style="medium">
        <color rgb="FF12805C"/>
      </bottom>
      <diagonal/>
    </border>
    <border>
      <left/>
      <right/>
      <top/>
      <bottom style="medium">
        <color rgb="FF6B7686"/>
      </bottom>
      <diagonal/>
    </border>
    <border>
      <left/>
      <right/>
      <top/>
      <bottom style="medium">
        <color rgb="FFC0392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0" fontId="7" fillId="0" borderId="3" xfId="0" applyFont="1" applyBorder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165" fontId="9" fillId="0" borderId="2" xfId="0" applyNumberFormat="1" applyFont="1" applyBorder="1" applyAlignment="1">
      <alignment horizontal="left" vertical="center" indent="1"/>
    </xf>
    <xf numFmtId="166" fontId="9" fillId="0" borderId="2" xfId="0" applyNumberFormat="1" applyFont="1" applyBorder="1" applyAlignment="1">
      <alignment horizontal="right" vertical="center"/>
    </xf>
    <xf numFmtId="167" fontId="9" fillId="0" borderId="2" xfId="0" applyNumberFormat="1" applyFont="1" applyBorder="1" applyAlignment="1">
      <alignment horizontal="right" vertical="center"/>
    </xf>
    <xf numFmtId="168" fontId="9" fillId="0" borderId="2" xfId="0" applyNumberFormat="1" applyFont="1" applyBorder="1" applyAlignment="1">
      <alignment horizontal="right" vertical="center"/>
    </xf>
    <xf numFmtId="166" fontId="10" fillId="3" borderId="2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 indent="1"/>
    </xf>
    <xf numFmtId="166" fontId="11" fillId="4" borderId="4" xfId="0" applyNumberFormat="1" applyFont="1" applyFill="1" applyBorder="1" applyAlignment="1">
      <alignment horizontal="right" vertical="center"/>
    </xf>
    <xf numFmtId="167" fontId="11" fillId="4" borderId="4" xfId="0" applyNumberFormat="1" applyFont="1" applyFill="1" applyBorder="1" applyAlignment="1">
      <alignment horizontal="right" vertical="center"/>
    </xf>
    <xf numFmtId="168" fontId="11" fillId="4" borderId="4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top" wrapText="1" indent="1"/>
    </xf>
    <xf numFmtId="0" fontId="3" fillId="4" borderId="5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69" fontId="13" fillId="4" borderId="0" xfId="0" applyNumberFormat="1" applyFont="1" applyFill="1" applyAlignment="1">
      <alignment horizontal="left" vertical="center" indent="1"/>
    </xf>
    <xf numFmtId="0" fontId="3" fillId="4" borderId="6" xfId="0" applyFont="1" applyFill="1" applyBorder="1" applyAlignment="1">
      <alignment horizontal="left" vertical="center" indent="1"/>
    </xf>
    <xf numFmtId="169" fontId="14" fillId="4" borderId="0" xfId="0" applyNumberFormat="1" applyFont="1" applyFill="1" applyAlignment="1">
      <alignment horizontal="left" vertical="center" indent="1"/>
    </xf>
    <xf numFmtId="0" fontId="3" fillId="4" borderId="7" xfId="0" applyFont="1" applyFill="1" applyBorder="1" applyAlignment="1">
      <alignment horizontal="left" vertical="center" indent="1"/>
    </xf>
    <xf numFmtId="169" fontId="15" fillId="4" borderId="0" xfId="0" applyNumberFormat="1" applyFont="1" applyFill="1" applyAlignment="1">
      <alignment horizontal="left" vertical="center" indent="1"/>
    </xf>
    <xf numFmtId="0" fontId="3" fillId="4" borderId="8" xfId="0" applyFont="1" applyFill="1" applyBorder="1" applyAlignment="1">
      <alignment horizontal="left" vertical="center" indent="1"/>
    </xf>
    <xf numFmtId="168" fontId="16" fillId="4" borderId="0" xfId="0" applyNumberFormat="1" applyFont="1" applyFill="1" applyAlignment="1">
      <alignment horizontal="left" vertical="center" indent="1"/>
    </xf>
    <xf numFmtId="0" fontId="17" fillId="4" borderId="0" xfId="0" applyFont="1" applyFill="1" applyAlignment="1">
      <alignment horizontal="left" vertical="center" indent="1"/>
    </xf>
    <xf numFmtId="169" fontId="18" fillId="4" borderId="9" xfId="0" applyNumberFormat="1" applyFont="1" applyFill="1" applyBorder="1" applyAlignment="1">
      <alignment horizontal="left" vertical="center" indent="1"/>
    </xf>
    <xf numFmtId="169" fontId="19" fillId="4" borderId="10" xfId="0" applyNumberFormat="1" applyFont="1" applyFill="1" applyBorder="1" applyAlignment="1">
      <alignment horizontal="left" vertical="center" indent="1"/>
    </xf>
    <xf numFmtId="169" fontId="20" fillId="4" borderId="3" xfId="0" applyNumberFormat="1" applyFont="1" applyFill="1" applyBorder="1" applyAlignment="1">
      <alignment horizontal="left" vertical="center" indent="1"/>
    </xf>
    <xf numFmtId="169" fontId="21" fillId="4" borderId="11" xfId="0" applyNumberFormat="1" applyFont="1" applyFill="1" applyBorder="1" applyAlignment="1">
      <alignment horizontal="left" vertical="center" indent="1"/>
    </xf>
    <xf numFmtId="169" fontId="22" fillId="4" borderId="12" xfId="0" applyNumberFormat="1" applyFont="1" applyFill="1" applyBorder="1" applyAlignment="1">
      <alignment horizontal="left" vertical="center" indent="1"/>
    </xf>
    <xf numFmtId="169" fontId="23" fillId="4" borderId="13" xfId="0" applyNumberFormat="1" applyFont="1" applyFill="1" applyBorder="1" applyAlignment="1">
      <alignment horizontal="left" vertical="center" indent="1"/>
    </xf>
    <xf numFmtId="0" fontId="24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right" vertical="center"/>
    </xf>
    <xf numFmtId="170" fontId="7" fillId="4" borderId="0" xfId="0" applyNumberFormat="1" applyFont="1" applyFill="1" applyAlignment="1">
      <alignment horizontal="left" vertical="center"/>
    </xf>
    <xf numFmtId="169" fontId="7" fillId="4" borderId="0" xfId="0" applyNumberFormat="1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169" fontId="2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8">
    <dxf>
      <font>
        <b/>
        <color rgb="FF12805C"/>
      </font>
    </dxf>
    <dxf>
      <font>
        <b/>
        <color rgb="FFC0392B"/>
      </font>
    </dxf>
    <dxf>
      <font>
        <color rgb="FF12805C"/>
      </font>
    </dxf>
    <dxf>
      <font>
        <b/>
        <color rgb="FFC0392B"/>
      </font>
      <fill>
        <patternFill patternType="solid">
          <fgColor rgb="FFFBE9E7"/>
          <bgColor rgb="FFFBE9E7"/>
        </patternFill>
      </fill>
    </dxf>
    <dxf>
      <font>
        <b/>
        <color rgb="FFB7791F"/>
      </font>
      <fill>
        <patternFill patternType="solid">
          <fgColor rgb="FFFFF4D6"/>
          <bgColor rgb="FFFFF4D6"/>
        </patternFill>
      </fill>
    </dxf>
    <dxf>
      <font>
        <b/>
        <color rgb="FF12805C"/>
      </font>
      <fill>
        <patternFill patternType="solid">
          <fgColor rgb="FFE3F4EC"/>
          <bgColor rgb="FFE3F4EC"/>
        </patternFill>
      </fill>
    </dxf>
    <dxf>
      <font>
        <i/>
        <color rgb="FF9AA4B2"/>
      </font>
    </dxf>
    <dxf>
      <fill>
        <patternFill patternType="solid">
          <fgColor rgb="FFF6F8FB"/>
          <bgColor rgb="FFF6F8FB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100" b="1"/>
            </a:pPr>
            <a:r>
              <a:rPr lang="vi-VN" sz="1100" b="1">
                <a:solidFill>
                  <a:srgbClr val="1F2A44"/>
                </a:solidFill>
                <a:latin typeface="Arial"/>
              </a:rPr>
              <a:t>Thu – Chi theo tháng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quan'!$C$16</c:f>
              <c:strCache>
                <c:ptCount val="1"/>
                <c:pt idx="0">
                  <c:v>Thu nhập</c:v>
                </c:pt>
              </c:strCache>
            </c:strRef>
          </c:tx>
          <c:spPr>
            <a:solidFill>
              <a:srgbClr val="1E9E6A"/>
            </a:solidFill>
          </c:spPr>
          <c:invertIfNegative val="0"/>
          <c:cat>
            <c:numRef>
              <c:f>'Tổng quan'!$B$17:$B$28</c:f>
              <c:numCache>
                <c:formatCode>"Tháng "0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'Tổng quan'!$C$17:$C$28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4465000</c:v>
                </c:pt>
                <c:pt idx="3">
                  <c:v>1901000</c:v>
                </c:pt>
                <c:pt idx="4">
                  <c:v>1114000</c:v>
                </c:pt>
                <c:pt idx="5">
                  <c:v>0</c:v>
                </c:pt>
                <c:pt idx="6">
                  <c:v>1000000</c:v>
                </c:pt>
                <c:pt idx="7">
                  <c:v>6995000</c:v>
                </c:pt>
                <c:pt idx="8">
                  <c:v>5152000</c:v>
                </c:pt>
                <c:pt idx="9">
                  <c:v>3047000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'Tổng quan'!$D$16</c:f>
              <c:strCache>
                <c:ptCount val="1"/>
                <c:pt idx="0">
                  <c:v>Chi phí</c:v>
                </c:pt>
              </c:strCache>
            </c:strRef>
          </c:tx>
          <c:spPr>
            <a:solidFill>
              <a:srgbClr val="D6564A"/>
            </a:solidFill>
          </c:spPr>
          <c:invertIfNegative val="0"/>
          <c:cat>
            <c:numRef>
              <c:f>'Tổng quan'!$B$17:$B$28</c:f>
              <c:numCache>
                <c:formatCode>"Tháng "0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'Tổng quan'!$D$17:$D$28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3872000</c:v>
                </c:pt>
                <c:pt idx="3">
                  <c:v>5347000</c:v>
                </c:pt>
                <c:pt idx="4">
                  <c:v>2573000</c:v>
                </c:pt>
                <c:pt idx="5">
                  <c:v>0</c:v>
                </c:pt>
                <c:pt idx="6">
                  <c:v>4165000</c:v>
                </c:pt>
                <c:pt idx="7">
                  <c:v>5817000</c:v>
                </c:pt>
                <c:pt idx="8">
                  <c:v>2405000</c:v>
                </c:pt>
                <c:pt idx="9">
                  <c:v>2731696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70"/>
        <c:axId val="500001"/>
        <c:axId val="500002"/>
      </c:barChart>
      <c:catAx>
        <c:axId val="500001"/>
        <c:scaling>
          <c:orientation val="minMax"/>
        </c:scaling>
        <c:delete val="0"/>
        <c:axPos val="b"/>
        <c:numFmt formatCode="&quot;T&quot;0" sourceLinked="0"/>
        <c:majorTickMark val="none"/>
        <c:minorTickMark val="none"/>
        <c:tickLblPos val="nextTo"/>
        <c:spPr>
          <a:ln w="6350">
            <a:solidFill>
              <a:srgbClr val="C9D0DA"/>
            </a:solidFill>
          </a:ln>
        </c:spPr>
        <c:txPr>
          <a:bodyPr/>
          <a:lstStyle/>
          <a:p>
            <a:pPr>
              <a:defRPr sz="900" b="0">
                <a:solidFill>
                  <a:srgbClr val="5F6B7A"/>
                </a:solidFill>
                <a:latin typeface="Arial"/>
              </a:defRPr>
            </a:pPr>
            <a:endParaRPr lang="vi-VN"/>
          </a:p>
        </c:txPr>
        <c:crossAx val="500002"/>
        <c:crosses val="autoZero"/>
        <c:auto val="1"/>
        <c:lblAlgn val="ctr"/>
        <c:lblOffset val="100"/>
        <c:noMultiLvlLbl val="0"/>
      </c:catAx>
      <c:valAx>
        <c:axId val="5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5E9F0"/>
              </a:solidFill>
            </a:ln>
          </c:spPr>
        </c:majorGridlines>
        <c:numFmt formatCode="[&gt;=1000000]#,##0.0,,&quot;tr&quot;;[&gt;=1000]#,##0,&quot;k&quot;;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F6B7A"/>
                </a:solidFill>
                <a:latin typeface="Arial"/>
              </a:defRPr>
            </a:pPr>
            <a:endParaRPr lang="vi-VN"/>
          </a:p>
        </c:txPr>
        <c:crossAx val="50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5F6B7A"/>
              </a:solidFill>
              <a:latin typeface="Arial"/>
            </a:defRPr>
          </a:pPr>
          <a:endParaRPr lang="vi-VN"/>
        </a:p>
      </c:txPr>
    </c:legend>
    <c:plotVisOnly val="1"/>
    <c:dispBlanksAs val="gap"/>
  </c:chart>
  <c:spPr>
    <a:solidFill>
      <a:srgbClr val="FFFFFF"/>
    </a:solidFill>
    <a:ln w="9525">
      <a:solidFill>
        <a:srgbClr val="D9DEE5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100" b="1"/>
            </a:pPr>
            <a:r>
              <a:rPr lang="vi-VN" sz="1100" b="1">
                <a:solidFill>
                  <a:srgbClr val="1F2A44"/>
                </a:solidFill>
                <a:latin typeface="Arial"/>
              </a:rPr>
              <a:t>Chi phí theo hạng mục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'Tổng quan'!$D$32</c:f>
              <c:strCache>
                <c:ptCount val="1"/>
                <c:pt idx="0">
                  <c:v>Số tiền</c:v>
                </c:pt>
              </c:strCache>
            </c:strRef>
          </c:tx>
          <c:spPr>
            <a:solidFill>
              <a:srgbClr val="D6564A"/>
            </a:solidFill>
          </c:spPr>
          <c:invertIfNegative val="0"/>
          <c:dLbls>
            <c:numFmt formatCode="[&gt;=1000000]#,##0.0,,&quot;tr&quot;;[&gt;=1000]#,##0,&quot;k&quot;;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5F6B7A"/>
                    </a:solidFill>
                    <a:latin typeface="Arial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'Tổng quan'!$B$33:$B$42</c:f>
              <c:strCache>
                <c:ptCount val="10"/>
                <c:pt idx="0">
                  <c:v>🏠 Housing</c:v>
                </c:pt>
                <c:pt idx="1">
                  <c:v>🍜 Food &amp; Dining</c:v>
                </c:pt>
                <c:pt idx="2">
                  <c:v>🛵 Transportation</c:v>
                </c:pt>
                <c:pt idx="3">
                  <c:v>🛒 Essentials</c:v>
                </c:pt>
                <c:pt idx="4">
                  <c:v>🛍️ Other Shopping</c:v>
                </c:pt>
                <c:pt idx="5">
                  <c:v>🎮 Entertainment</c:v>
                </c:pt>
                <c:pt idx="6">
                  <c:v>❤️ Giving &amp; Charity</c:v>
                </c:pt>
                <c:pt idx="7">
                  <c:v>📚 Self-Development</c:v>
                </c:pt>
                <c:pt idx="8">
                  <c:v>🩺 Healthcare</c:v>
                </c:pt>
                <c:pt idx="9">
                  <c:v>🏷️ Other Expenses</c:v>
                </c:pt>
              </c:strCache>
            </c:strRef>
          </c:cat>
          <c:val>
            <c:numRef>
              <c:f>'Tổng quan'!$D$33:$D$42</c:f>
              <c:numCache>
                <c:formatCode>#,##0</c:formatCode>
                <c:ptCount val="10"/>
                <c:pt idx="0">
                  <c:v>1477696</c:v>
                </c:pt>
                <c:pt idx="1">
                  <c:v>668000</c:v>
                </c:pt>
                <c:pt idx="2">
                  <c:v>78000</c:v>
                </c:pt>
                <c:pt idx="3">
                  <c:v>278000</c:v>
                </c:pt>
                <c:pt idx="4">
                  <c:v>60000</c:v>
                </c:pt>
                <c:pt idx="5">
                  <c:v>0</c:v>
                </c:pt>
                <c:pt idx="6">
                  <c:v>150000</c:v>
                </c:pt>
                <c:pt idx="7">
                  <c:v>0</c:v>
                </c:pt>
                <c:pt idx="8">
                  <c:v>0</c:v>
                </c:pt>
                <c:pt idx="9">
                  <c:v>20000</c:v>
                </c:pt>
              </c:numCache>
            </c:numRef>
          </c:val>
        </c:ser>
        <c:gapWidth val="45"/>
        <c:axId val="500001"/>
        <c:axId val="500002"/>
      </c:barChart>
      <c:catAx>
        <c:axId val="5000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solidFill>
              <a:srgbClr val="C9D0DA"/>
            </a:solidFill>
          </a:ln>
        </c:spPr>
        <c:txPr>
          <a:bodyPr/>
          <a:lstStyle/>
          <a:p>
            <a:pPr>
              <a:defRPr sz="900" b="0">
                <a:solidFill>
                  <a:srgbClr val="5F6B7A"/>
                </a:solidFill>
                <a:latin typeface="Arial"/>
              </a:defRPr>
            </a:pPr>
            <a:endParaRPr lang="vi-VN"/>
          </a:p>
        </c:txPr>
        <c:crossAx val="500002"/>
        <c:crosses val="autoZero"/>
        <c:auto val="1"/>
        <c:lblAlgn val="ctr"/>
        <c:lblOffset val="100"/>
        <c:noMultiLvlLbl val="0"/>
      </c:catAx>
      <c:valAx>
        <c:axId val="500002"/>
        <c:scaling>
          <c:orientation val="minMax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5F6B7A"/>
                </a:solidFill>
                <a:latin typeface="Arial"/>
              </a:defRPr>
            </a:pPr>
            <a:endParaRPr lang="vi-VN"/>
          </a:p>
        </c:txPr>
        <c:crossAx val="500001"/>
        <c:crosses val="max"/>
        <c:crossBetween val="between"/>
      </c:valAx>
    </c:plotArea>
    <c:plotVisOnly val="1"/>
    <c:dispBlanksAs val="gap"/>
  </c:chart>
  <c:spPr>
    <a:solidFill>
      <a:srgbClr val="FFFFFF"/>
    </a:solidFill>
    <a:ln w="9525">
      <a:solidFill>
        <a:srgbClr val="D9DEE5"/>
      </a:solidFill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60000</xdr:colOff>
      <xdr:row>14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2" name="Biểu đồ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60000</xdr:colOff>
      <xdr:row>30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3" name="Biểu đồ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GiaoDich" displayName="tblGiaoDich" ref="A4:G402" totalsRowShown="0">
  <autoFilter ref="A4:G402"/>
  <tableColumns count="7">
    <tableColumn id="1" name="Ngày"/>
    <tableColumn id="2" name="Loại"/>
    <tableColumn id="3" name="Hạng mục"/>
    <tableColumn id="4" name="Mô tả"/>
    <tableColumn id="5" name="Nguồn"/>
    <tableColumn id="6" name="Số tiền"/>
    <tableColumn id="7" name="Tính báo cáo"/>
  </tableColumns>
  <tableStyleInfo showFirstColumn="0" showLastColumn="0" showRowStripes="0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2A44"/>
    <pageSetUpPr fitToPage="1"/>
  </sheetPr>
  <dimension ref="A1:N61"/>
  <sheetViews>
    <sheetView workbookViewId="0" showGridLines="0" tabSelected="1"/>
  </sheetViews>
  <sheetFormatPr defaultRowHeight="15"/>
  <cols>
    <col min="1" max="1" width="2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2" customWidth="1"/>
  </cols>
  <sheetData>
    <row r="1" ht="42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6" customHeight="1">
      <c r="B4" s="3" t="s">
        <v>2</v>
      </c>
      <c r="C4" s="4">
        <v>2026</v>
      </c>
      <c r="D4" s="3" t="s">
        <v>3</v>
      </c>
      <c r="E4" s="4">
        <v>10</v>
      </c>
      <c r="F4" s="3" t="s">
        <v>4</v>
      </c>
      <c r="G4" s="5">
        <f>DATE($C$4,IF($E$4="Cả năm",1,$E$4),1)</f>
        <v>46296</v>
      </c>
      <c r="H4" s="3" t="s">
        <v>5</v>
      </c>
      <c r="I4" s="5">
        <f>EDATE($G$4,IF($E$4="Cả năm",12,1))-1</f>
        <v>46326</v>
      </c>
      <c r="J4" s="6" t="s">
        <v>6</v>
      </c>
      <c r="K4" s="6"/>
      <c r="L4" s="6"/>
      <c r="M4" s="6"/>
    </row>
    <row r="6" ht="20" customHeight="1">
      <c r="B6" s="21" t="s">
        <v>7</v>
      </c>
      <c r="C6" s="21"/>
      <c r="D6" s="21"/>
      <c r="E6" s="24" t="s">
        <v>8</v>
      </c>
      <c r="F6" s="24"/>
      <c r="G6" s="24"/>
      <c r="H6" s="26" t="s">
        <v>9</v>
      </c>
      <c r="I6" s="26"/>
      <c r="J6" s="26"/>
      <c r="K6" s="28" t="s">
        <v>10</v>
      </c>
      <c r="L6" s="28"/>
      <c r="M6" s="28"/>
    </row>
    <row r="7" ht="22" customHeight="1">
      <c r="B7" s="23">
        <f>SUMIFS(GD_SoTien,GD_Loai,"Thu nhập",GD_TinhBC,"&lt;&gt;Không",GD_Ngay,"&gt;="&amp;$G$4,GD_Ngay,"&lt;="&amp;$I$4)</f>
        <v>3047000</v>
      </c>
      <c r="C7" s="23"/>
      <c r="D7" s="23"/>
      <c r="E7" s="25">
        <f>SUMIFS(GD_SoTien,GD_Loai,"Chi phí",GD_TinhBC,"&lt;&gt;Không",GD_Ngay,"&gt;="&amp;$G$4,GD_Ngay,"&lt;="&amp;$I$4)</f>
        <v>2731696</v>
      </c>
      <c r="F7" s="25"/>
      <c r="G7" s="25"/>
      <c r="H7" s="27">
        <f>B7-E7</f>
        <v>315304</v>
      </c>
      <c r="I7" s="27"/>
      <c r="J7" s="27"/>
      <c r="K7" s="29">
        <f>IF(B7=0,0,H7/B7)</f>
        <v>0.10348014440433213</v>
      </c>
      <c r="L7" s="29"/>
      <c r="M7" s="29"/>
    </row>
    <row r="8" ht="22" customHeight="1">
      <c r="B8" s="23"/>
      <c r="C8" s="23"/>
      <c r="D8" s="23"/>
      <c r="E8" s="25"/>
      <c r="F8" s="25"/>
      <c r="G8" s="25"/>
      <c r="H8" s="27"/>
      <c r="I8" s="27"/>
      <c r="J8" s="27"/>
      <c r="K8" s="29"/>
      <c r="L8" s="29"/>
      <c r="M8" s="29"/>
    </row>
    <row r="9" ht="18" customHeight="1">
      <c r="B9" s="22" t="str">
        <f>COUNTIFS(GD_Loai,"Thu nhập",GD_TinhBC,"&lt;&gt;Không",GD_Ngay,"&gt;="&amp;$G$4,GD_Ngay,"&lt;="&amp;$I$4)&amp;" giao dịch"</f>
        <v>6 giao dịch</v>
      </c>
      <c r="C9" s="22"/>
      <c r="D9" s="22"/>
      <c r="E9" s="22" t="str">
        <f>COUNTIFS(GD_Loai,"Chi phí",GD_TinhBC,"&lt;&gt;Không",GD_Ngay,"&gt;="&amp;$G$4,GD_Ngay,"&lt;="&amp;$I$4)&amp;" giao dịch"</f>
        <v>43 giao dịch</v>
      </c>
      <c r="F9" s="22"/>
      <c r="G9" s="22"/>
      <c r="H9" s="22" t="str">
        <f>IF(H7&gt;=0,"Thu lớn hơn chi","Chi vượt thu")</f>
        <v>Thu lớn hơn chi</v>
      </c>
      <c r="I9" s="22"/>
      <c r="J9" s="22"/>
      <c r="K9" s="22" t="s">
        <v>11</v>
      </c>
      <c r="L9" s="22"/>
      <c r="M9" s="22"/>
    </row>
    <row r="11" ht="24" customHeight="1">
      <c r="B11" s="7" t="s">
        <v>12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ht="18" customHeight="1">
      <c r="B12" s="30" t="s">
        <v>13</v>
      </c>
      <c r="C12" s="30"/>
      <c r="D12" s="30" t="s">
        <v>14</v>
      </c>
      <c r="E12" s="30"/>
      <c r="F12" s="30" t="s">
        <v>15</v>
      </c>
      <c r="G12" s="30"/>
      <c r="H12" s="30" t="s">
        <v>16</v>
      </c>
      <c r="I12" s="30"/>
      <c r="J12" s="30" t="s">
        <v>17</v>
      </c>
      <c r="K12" s="30"/>
      <c r="L12" s="30" t="s">
        <v>18</v>
      </c>
      <c r="M12" s="30"/>
    </row>
    <row r="13" ht="28" customHeight="1">
      <c r="B13" s="31">
        <v>610304</v>
      </c>
      <c r="C13" s="31"/>
      <c r="D13" s="32">
        <v>200000</v>
      </c>
      <c r="E13" s="32"/>
      <c r="F13" s="33">
        <v>653304</v>
      </c>
      <c r="G13" s="33"/>
      <c r="H13" s="34">
        <v>-43000</v>
      </c>
      <c r="I13" s="34"/>
      <c r="J13" s="35">
        <v>0</v>
      </c>
      <c r="K13" s="35"/>
      <c r="L13" s="36">
        <v>0</v>
      </c>
      <c r="M13" s="36"/>
    </row>
    <row r="15" ht="24" customHeight="1">
      <c r="B15" s="7" t="str">
        <f>"DÒNG TIỀN THEO THÁNG  ·  "&amp;$C$4</f>
        <v>DÒNG TIỀN THEO THÁNG  ·  2026</v>
      </c>
      <c r="C15" s="7"/>
      <c r="D15" s="7"/>
      <c r="E15" s="7"/>
      <c r="F15" s="7"/>
      <c r="G15" s="7"/>
    </row>
    <row r="16" ht="22" customHeight="1">
      <c r="B16" s="9" t="s">
        <v>19</v>
      </c>
      <c r="C16" s="8" t="s">
        <v>20</v>
      </c>
      <c r="D16" s="8" t="s">
        <v>21</v>
      </c>
      <c r="E16" s="8" t="s">
        <v>22</v>
      </c>
      <c r="F16" s="8" t="s">
        <v>23</v>
      </c>
      <c r="G16" s="8" t="s">
        <v>24</v>
      </c>
    </row>
    <row r="17" ht="20" customHeight="1">
      <c r="B17" s="11">
        <v>1</v>
      </c>
      <c r="C17" s="12">
        <f>SUMIFS(GD_SoTien,GD_Loai,"Thu nhập",GD_TinhBC,"&lt;&gt;Không",GD_Ngay,"&gt;="&amp;DATE($C$4,$B17,1),GD_Ngay,"&lt;"&amp;DATE($C$4,$B17+1,1))</f>
        <v>0</v>
      </c>
      <c r="D17" s="12">
        <f>SUMIFS(GD_SoTien,GD_Loai,"Chi phí",GD_TinhBC,"&lt;&gt;Không",GD_Ngay,"&gt;="&amp;DATE($C$4,$B17,1),GD_Ngay,"&lt;"&amp;DATE($C$4,$B17+1,1))</f>
        <v>0</v>
      </c>
      <c r="E17" s="12">
        <f>C17-D17</f>
        <v>0</v>
      </c>
      <c r="F17" s="14">
        <f>IF(C17=0,0,E17/C17)</f>
        <v>0</v>
      </c>
      <c r="G17" s="12">
        <f>E17</f>
        <v>0</v>
      </c>
    </row>
    <row r="18" ht="20" customHeight="1">
      <c r="B18" s="11">
        <v>2</v>
      </c>
      <c r="C18" s="12">
        <f>SUMIFS(GD_SoTien,GD_Loai,"Thu nhập",GD_TinhBC,"&lt;&gt;Không",GD_Ngay,"&gt;="&amp;DATE($C$4,$B18,1),GD_Ngay,"&lt;"&amp;DATE($C$4,$B18+1,1))</f>
        <v>0</v>
      </c>
      <c r="D18" s="12">
        <f>SUMIFS(GD_SoTien,GD_Loai,"Chi phí",GD_TinhBC,"&lt;&gt;Không",GD_Ngay,"&gt;="&amp;DATE($C$4,$B18,1),GD_Ngay,"&lt;"&amp;DATE($C$4,$B18+1,1))</f>
        <v>0</v>
      </c>
      <c r="E18" s="12">
        <f>C18-D18</f>
        <v>0</v>
      </c>
      <c r="F18" s="14">
        <f>IF(C18=0,0,E18/C18)</f>
        <v>0</v>
      </c>
      <c r="G18" s="12">
        <f>G17+E18</f>
        <v>0</v>
      </c>
    </row>
    <row r="19" ht="20" customHeight="1">
      <c r="B19" s="11">
        <v>3</v>
      </c>
      <c r="C19" s="12">
        <f>SUMIFS(GD_SoTien,GD_Loai,"Thu nhập",GD_TinhBC,"&lt;&gt;Không",GD_Ngay,"&gt;="&amp;DATE($C$4,$B19,1),GD_Ngay,"&lt;"&amp;DATE($C$4,$B19+1,1))</f>
        <v>4465000</v>
      </c>
      <c r="D19" s="12">
        <f>SUMIFS(GD_SoTien,GD_Loai,"Chi phí",GD_TinhBC,"&lt;&gt;Không",GD_Ngay,"&gt;="&amp;DATE($C$4,$B19,1),GD_Ngay,"&lt;"&amp;DATE($C$4,$B19+1,1))</f>
        <v>3872000</v>
      </c>
      <c r="E19" s="12">
        <f>C19-D19</f>
        <v>593000</v>
      </c>
      <c r="F19" s="14">
        <f>IF(C19=0,0,E19/C19)</f>
        <v>0.1328107502799552</v>
      </c>
      <c r="G19" s="12">
        <f>G18+E19</f>
        <v>593000</v>
      </c>
    </row>
    <row r="20" ht="20" customHeight="1">
      <c r="B20" s="11">
        <v>4</v>
      </c>
      <c r="C20" s="12">
        <f>SUMIFS(GD_SoTien,GD_Loai,"Thu nhập",GD_TinhBC,"&lt;&gt;Không",GD_Ngay,"&gt;="&amp;DATE($C$4,$B20,1),GD_Ngay,"&lt;"&amp;DATE($C$4,$B20+1,1))</f>
        <v>1901000</v>
      </c>
      <c r="D20" s="12">
        <f>SUMIFS(GD_SoTien,GD_Loai,"Chi phí",GD_TinhBC,"&lt;&gt;Không",GD_Ngay,"&gt;="&amp;DATE($C$4,$B20,1),GD_Ngay,"&lt;"&amp;DATE($C$4,$B20+1,1))</f>
        <v>5347000</v>
      </c>
      <c r="E20" s="12">
        <f>C20-D20</f>
        <v>-3446000</v>
      </c>
      <c r="F20" s="14">
        <f>IF(C20=0,0,E20/C20)</f>
        <v>-1.8127301420305102</v>
      </c>
      <c r="G20" s="12">
        <f>G19+E20</f>
        <v>-2853000</v>
      </c>
    </row>
    <row r="21" ht="20" customHeight="1">
      <c r="B21" s="11">
        <v>5</v>
      </c>
      <c r="C21" s="12">
        <f>SUMIFS(GD_SoTien,GD_Loai,"Thu nhập",GD_TinhBC,"&lt;&gt;Không",GD_Ngay,"&gt;="&amp;DATE($C$4,$B21,1),GD_Ngay,"&lt;"&amp;DATE($C$4,$B21+1,1))</f>
        <v>1114000</v>
      </c>
      <c r="D21" s="12">
        <f>SUMIFS(GD_SoTien,GD_Loai,"Chi phí",GD_TinhBC,"&lt;&gt;Không",GD_Ngay,"&gt;="&amp;DATE($C$4,$B21,1),GD_Ngay,"&lt;"&amp;DATE($C$4,$B21+1,1))</f>
        <v>2573000</v>
      </c>
      <c r="E21" s="12">
        <f>C21-D21</f>
        <v>-1459000</v>
      </c>
      <c r="F21" s="14">
        <f>IF(C21=0,0,E21/C21)</f>
        <v>-1.3096947935368044</v>
      </c>
      <c r="G21" s="12">
        <f>G20+E21</f>
        <v>-4312000</v>
      </c>
    </row>
    <row r="22" ht="20" customHeight="1">
      <c r="B22" s="11">
        <v>6</v>
      </c>
      <c r="C22" s="12">
        <f>SUMIFS(GD_SoTien,GD_Loai,"Thu nhập",GD_TinhBC,"&lt;&gt;Không",GD_Ngay,"&gt;="&amp;DATE($C$4,$B22,1),GD_Ngay,"&lt;"&amp;DATE($C$4,$B22+1,1))</f>
        <v>0</v>
      </c>
      <c r="D22" s="12">
        <f>SUMIFS(GD_SoTien,GD_Loai,"Chi phí",GD_TinhBC,"&lt;&gt;Không",GD_Ngay,"&gt;="&amp;DATE($C$4,$B22,1),GD_Ngay,"&lt;"&amp;DATE($C$4,$B22+1,1))</f>
        <v>0</v>
      </c>
      <c r="E22" s="12">
        <f>C22-D22</f>
        <v>0</v>
      </c>
      <c r="F22" s="14">
        <f>IF(C22=0,0,E22/C22)</f>
        <v>0</v>
      </c>
      <c r="G22" s="12">
        <f>G21+E22</f>
        <v>-4312000</v>
      </c>
    </row>
    <row r="23" ht="20" customHeight="1">
      <c r="B23" s="11">
        <v>7</v>
      </c>
      <c r="C23" s="12">
        <f>SUMIFS(GD_SoTien,GD_Loai,"Thu nhập",GD_TinhBC,"&lt;&gt;Không",GD_Ngay,"&gt;="&amp;DATE($C$4,$B23,1),GD_Ngay,"&lt;"&amp;DATE($C$4,$B23+1,1))</f>
        <v>1000000</v>
      </c>
      <c r="D23" s="12">
        <f>SUMIFS(GD_SoTien,GD_Loai,"Chi phí",GD_TinhBC,"&lt;&gt;Không",GD_Ngay,"&gt;="&amp;DATE($C$4,$B23,1),GD_Ngay,"&lt;"&amp;DATE($C$4,$B23+1,1))</f>
        <v>4165000</v>
      </c>
      <c r="E23" s="12">
        <f>C23-D23</f>
        <v>-3165000</v>
      </c>
      <c r="F23" s="14">
        <f>IF(C23=0,0,E23/C23)</f>
        <v>-3.165</v>
      </c>
      <c r="G23" s="12">
        <f>G22+E23</f>
        <v>-7477000</v>
      </c>
    </row>
    <row r="24" ht="20" customHeight="1">
      <c r="B24" s="11">
        <v>8</v>
      </c>
      <c r="C24" s="12">
        <f>SUMIFS(GD_SoTien,GD_Loai,"Thu nhập",GD_TinhBC,"&lt;&gt;Không",GD_Ngay,"&gt;="&amp;DATE($C$4,$B24,1),GD_Ngay,"&lt;"&amp;DATE($C$4,$B24+1,1))</f>
        <v>6995000</v>
      </c>
      <c r="D24" s="12">
        <f>SUMIFS(GD_SoTien,GD_Loai,"Chi phí",GD_TinhBC,"&lt;&gt;Không",GD_Ngay,"&gt;="&amp;DATE($C$4,$B24,1),GD_Ngay,"&lt;"&amp;DATE($C$4,$B24+1,1))</f>
        <v>5817000</v>
      </c>
      <c r="E24" s="12">
        <f>C24-D24</f>
        <v>1178000</v>
      </c>
      <c r="F24" s="14">
        <f>IF(C24=0,0,E24/C24)</f>
        <v>0.1684060042887777</v>
      </c>
      <c r="G24" s="12">
        <f>G23+E24</f>
        <v>-6299000</v>
      </c>
    </row>
    <row r="25" ht="20" customHeight="1">
      <c r="B25" s="11">
        <v>9</v>
      </c>
      <c r="C25" s="12">
        <f>SUMIFS(GD_SoTien,GD_Loai,"Thu nhập",GD_TinhBC,"&lt;&gt;Không",GD_Ngay,"&gt;="&amp;DATE($C$4,$B25,1),GD_Ngay,"&lt;"&amp;DATE($C$4,$B25+1,1))</f>
        <v>5152000</v>
      </c>
      <c r="D25" s="12">
        <f>SUMIFS(GD_SoTien,GD_Loai,"Chi phí",GD_TinhBC,"&lt;&gt;Không",GD_Ngay,"&gt;="&amp;DATE($C$4,$B25,1),GD_Ngay,"&lt;"&amp;DATE($C$4,$B25+1,1))</f>
        <v>2405000</v>
      </c>
      <c r="E25" s="12">
        <f>C25-D25</f>
        <v>2747000</v>
      </c>
      <c r="F25" s="14">
        <f>IF(C25=0,0,E25/C25)</f>
        <v>0.5331909937888198</v>
      </c>
      <c r="G25" s="12">
        <f>G24+E25</f>
        <v>-3552000</v>
      </c>
    </row>
    <row r="26" ht="20" customHeight="1">
      <c r="B26" s="11">
        <v>10</v>
      </c>
      <c r="C26" s="12">
        <f>SUMIFS(GD_SoTien,GD_Loai,"Thu nhập",GD_TinhBC,"&lt;&gt;Không",GD_Ngay,"&gt;="&amp;DATE($C$4,$B26,1),GD_Ngay,"&lt;"&amp;DATE($C$4,$B26+1,1))</f>
        <v>3047000</v>
      </c>
      <c r="D26" s="12">
        <f>SUMIFS(GD_SoTien,GD_Loai,"Chi phí",GD_TinhBC,"&lt;&gt;Không",GD_Ngay,"&gt;="&amp;DATE($C$4,$B26,1),GD_Ngay,"&lt;"&amp;DATE($C$4,$B26+1,1))</f>
        <v>2731696</v>
      </c>
      <c r="E26" s="12">
        <f>C26-D26</f>
        <v>315304</v>
      </c>
      <c r="F26" s="14">
        <f>IF(C26=0,0,E26/C26)</f>
        <v>0.10348014440433213</v>
      </c>
      <c r="G26" s="12">
        <f>G25+E26</f>
        <v>-3236696</v>
      </c>
    </row>
    <row r="27" ht="20" customHeight="1">
      <c r="B27" s="11">
        <v>11</v>
      </c>
      <c r="C27" s="12">
        <f>SUMIFS(GD_SoTien,GD_Loai,"Thu nhập",GD_TinhBC,"&lt;&gt;Không",GD_Ngay,"&gt;="&amp;DATE($C$4,$B27,1),GD_Ngay,"&lt;"&amp;DATE($C$4,$B27+1,1))</f>
        <v>0</v>
      </c>
      <c r="D27" s="12">
        <f>SUMIFS(GD_SoTien,GD_Loai,"Chi phí",GD_TinhBC,"&lt;&gt;Không",GD_Ngay,"&gt;="&amp;DATE($C$4,$B27,1),GD_Ngay,"&lt;"&amp;DATE($C$4,$B27+1,1))</f>
        <v>0</v>
      </c>
      <c r="E27" s="12">
        <f>C27-D27</f>
        <v>0</v>
      </c>
      <c r="F27" s="14">
        <f>IF(C27=0,0,E27/C27)</f>
        <v>0</v>
      </c>
      <c r="G27" s="12">
        <f>G26+E27</f>
        <v>-3236696</v>
      </c>
    </row>
    <row r="28" ht="20" customHeight="1">
      <c r="B28" s="11">
        <v>12</v>
      </c>
      <c r="C28" s="12">
        <f>SUMIFS(GD_SoTien,GD_Loai,"Thu nhập",GD_TinhBC,"&lt;&gt;Không",GD_Ngay,"&gt;="&amp;DATE($C$4,$B28,1),GD_Ngay,"&lt;"&amp;DATE($C$4,$B28+1,1))</f>
        <v>0</v>
      </c>
      <c r="D28" s="12">
        <f>SUMIFS(GD_SoTien,GD_Loai,"Chi phí",GD_TinhBC,"&lt;&gt;Không",GD_Ngay,"&gt;="&amp;DATE($C$4,$B28,1),GD_Ngay,"&lt;"&amp;DATE($C$4,$B28+1,1))</f>
        <v>0</v>
      </c>
      <c r="E28" s="12">
        <f>C28-D28</f>
        <v>0</v>
      </c>
      <c r="F28" s="14">
        <f>IF(C28=0,0,E28/C28)</f>
        <v>0</v>
      </c>
      <c r="G28" s="12">
        <f>G27+E28</f>
        <v>-3236696</v>
      </c>
    </row>
    <row r="29" ht="22" customHeight="1">
      <c r="B29" s="16" t="s">
        <v>25</v>
      </c>
      <c r="C29" s="17">
        <f>SUM(C17:C28)</f>
        <v>23674000</v>
      </c>
      <c r="D29" s="17">
        <f>SUM(D17:D28)</f>
        <v>26910696</v>
      </c>
      <c r="E29" s="17">
        <f>C29-D29</f>
        <v>-3236696</v>
      </c>
      <c r="F29" s="19">
        <f>IF(C29=0,0,E29/C29)</f>
        <v>-0.13671943904705583</v>
      </c>
      <c r="G29" s="17"/>
    </row>
    <row r="31" ht="24" customHeight="1">
      <c r="B31" s="7" t="str">
        <f>"CHI PHÍ THEO HẠNG MỤC  ·  "&amp;IF($E$4="Cả năm","cả năm "&amp;$C$4,"tháng "&amp;$E$4&amp;"/"&amp;$C$4)</f>
        <v>CHI PHÍ THEO HẠNG MỤC  ·  tháng 10/2026</v>
      </c>
      <c r="C31" s="7"/>
      <c r="D31" s="7"/>
      <c r="E31" s="7"/>
      <c r="F31" s="7"/>
      <c r="G31" s="7"/>
    </row>
    <row r="32" ht="28" customHeight="1">
      <c r="B32" s="9" t="s">
        <v>26</v>
      </c>
      <c r="C32" s="9"/>
      <c r="D32" s="8" t="s">
        <v>27</v>
      </c>
      <c r="E32" s="8" t="s">
        <v>28</v>
      </c>
      <c r="F32" s="8" t="s">
        <v>29</v>
      </c>
      <c r="G32" s="8" t="s">
        <v>30</v>
      </c>
    </row>
    <row r="33" ht="20" customHeight="1">
      <c r="B33" s="10" t="s">
        <v>31</v>
      </c>
      <c r="C33" s="10"/>
      <c r="D33" s="12">
        <f>SUMIFS(GD_SoTien,GD_Loai,"Chi phí",GD_TinhBC,"&lt;&gt;Không",GD_HangMuc,$B33,GD_Ngay,"&gt;="&amp;$G$4,GD_Ngay,"&lt;="&amp;$I$4)</f>
        <v>1477696</v>
      </c>
      <c r="E33" s="14">
        <f>IF($D$44=0,0,D33/$D$44)</f>
        <v>0.5409445267701823</v>
      </c>
      <c r="F33" s="15"/>
      <c r="G33" s="14" t="str">
        <f>IF(OR(F33="",F33=0),"",D33/(F33*IF($E$4="Cả năm",12,1)))</f>
        <v/>
      </c>
    </row>
    <row r="34" ht="20" customHeight="1">
      <c r="B34" s="10" t="s">
        <v>32</v>
      </c>
      <c r="C34" s="10"/>
      <c r="D34" s="12">
        <f>SUMIFS(GD_SoTien,GD_Loai,"Chi phí",GD_TinhBC,"&lt;&gt;Không",GD_HangMuc,$B34,GD_Ngay,"&gt;="&amp;$G$4,GD_Ngay,"&lt;="&amp;$I$4)</f>
        <v>668000</v>
      </c>
      <c r="E34" s="14">
        <f>IF($D$44=0,0,D34/$D$44)</f>
        <v>0.24453672736644194</v>
      </c>
      <c r="F34" s="15"/>
      <c r="G34" s="14" t="str">
        <f>IF(OR(F34="",F34=0),"",D34/(F34*IF($E$4="Cả năm",12,1)))</f>
        <v/>
      </c>
    </row>
    <row r="35" ht="20" customHeight="1">
      <c r="B35" s="10" t="s">
        <v>33</v>
      </c>
      <c r="C35" s="10"/>
      <c r="D35" s="12">
        <f>SUMIFS(GD_SoTien,GD_Loai,"Chi phí",GD_TinhBC,"&lt;&gt;Không",GD_HangMuc,$B35,GD_Ngay,"&gt;="&amp;$G$4,GD_Ngay,"&lt;="&amp;$I$4)</f>
        <v>78000</v>
      </c>
      <c r="E35" s="14">
        <f>IF($D$44=0,0,D35/$D$44)</f>
        <v>0.02855368972242885</v>
      </c>
      <c r="F35" s="15"/>
      <c r="G35" s="14" t="str">
        <f>IF(OR(F35="",F35=0),"",D35/(F35*IF($E$4="Cả năm",12,1)))</f>
        <v/>
      </c>
    </row>
    <row r="36" ht="20" customHeight="1">
      <c r="B36" s="10" t="s">
        <v>34</v>
      </c>
      <c r="C36" s="10"/>
      <c r="D36" s="12">
        <f>SUMIFS(GD_SoTien,GD_Loai,"Chi phí",GD_TinhBC,"&lt;&gt;Không",GD_HangMuc,$B36,GD_Ngay,"&gt;="&amp;$G$4,GD_Ngay,"&lt;="&amp;$I$4)</f>
        <v>278000</v>
      </c>
      <c r="E36" s="14">
        <f>IF($D$44=0,0,D36/$D$44)</f>
        <v>0.1017682787542977</v>
      </c>
      <c r="F36" s="15"/>
      <c r="G36" s="14" t="str">
        <f>IF(OR(F36="",F36=0),"",D36/(F36*IF($E$4="Cả năm",12,1)))</f>
        <v/>
      </c>
    </row>
    <row r="37" ht="20" customHeight="1">
      <c r="B37" s="10" t="s">
        <v>35</v>
      </c>
      <c r="C37" s="10"/>
      <c r="D37" s="12">
        <f>SUMIFS(GD_SoTien,GD_Loai,"Chi phí",GD_TinhBC,"&lt;&gt;Không",GD_HangMuc,$B37,GD_Ngay,"&gt;="&amp;$G$4,GD_Ngay,"&lt;="&amp;$I$4)</f>
        <v>60000</v>
      </c>
      <c r="E37" s="14">
        <f>IF($D$44=0,0,D37/$D$44)</f>
        <v>0.021964376709560654</v>
      </c>
      <c r="F37" s="15"/>
      <c r="G37" s="14" t="str">
        <f>IF(OR(F37="",F37=0),"",D37/(F37*IF($E$4="Cả năm",12,1)))</f>
        <v/>
      </c>
    </row>
    <row r="38" ht="20" customHeight="1">
      <c r="B38" s="10" t="s">
        <v>36</v>
      </c>
      <c r="C38" s="10"/>
      <c r="D38" s="12">
        <f>SUMIFS(GD_SoTien,GD_Loai,"Chi phí",GD_TinhBC,"&lt;&gt;Không",GD_HangMuc,$B38,GD_Ngay,"&gt;="&amp;$G$4,GD_Ngay,"&lt;="&amp;$I$4)</f>
        <v>0</v>
      </c>
      <c r="E38" s="14">
        <f>IF($D$44=0,0,D38/$D$44)</f>
        <v>0</v>
      </c>
      <c r="F38" s="15"/>
      <c r="G38" s="14" t="str">
        <f>IF(OR(F38="",F38=0),"",D38/(F38*IF($E$4="Cả năm",12,1)))</f>
        <v/>
      </c>
    </row>
    <row r="39" ht="20" customHeight="1">
      <c r="B39" s="10" t="s">
        <v>37</v>
      </c>
      <c r="C39" s="10"/>
      <c r="D39" s="12">
        <f>SUMIFS(GD_SoTien,GD_Loai,"Chi phí",GD_TinhBC,"&lt;&gt;Không",GD_HangMuc,$B39,GD_Ngay,"&gt;="&amp;$G$4,GD_Ngay,"&lt;="&amp;$I$4)</f>
        <v>150000</v>
      </c>
      <c r="E39" s="14">
        <f>IF($D$44=0,0,D39/$D$44)</f>
        <v>0.054910941773901635</v>
      </c>
      <c r="F39" s="15"/>
      <c r="G39" s="14" t="str">
        <f>IF(OR(F39="",F39=0),"",D39/(F39*IF($E$4="Cả năm",12,1)))</f>
        <v/>
      </c>
    </row>
    <row r="40" ht="20" customHeight="1">
      <c r="B40" s="10" t="s">
        <v>38</v>
      </c>
      <c r="C40" s="10"/>
      <c r="D40" s="12">
        <f>SUMIFS(GD_SoTien,GD_Loai,"Chi phí",GD_TinhBC,"&lt;&gt;Không",GD_HangMuc,$B40,GD_Ngay,"&gt;="&amp;$G$4,GD_Ngay,"&lt;="&amp;$I$4)</f>
        <v>0</v>
      </c>
      <c r="E40" s="14">
        <f>IF($D$44=0,0,D40/$D$44)</f>
        <v>0</v>
      </c>
      <c r="F40" s="15"/>
      <c r="G40" s="14" t="str">
        <f>IF(OR(F40="",F40=0),"",D40/(F40*IF($E$4="Cả năm",12,1)))</f>
        <v/>
      </c>
    </row>
    <row r="41" ht="20" customHeight="1">
      <c r="B41" s="10" t="s">
        <v>39</v>
      </c>
      <c r="C41" s="10"/>
      <c r="D41" s="12">
        <f>SUMIFS(GD_SoTien,GD_Loai,"Chi phí",GD_TinhBC,"&lt;&gt;Không",GD_HangMuc,$B41,GD_Ngay,"&gt;="&amp;$G$4,GD_Ngay,"&lt;="&amp;$I$4)</f>
        <v>0</v>
      </c>
      <c r="E41" s="14">
        <f>IF($D$44=0,0,D41/$D$44)</f>
        <v>0</v>
      </c>
      <c r="F41" s="15"/>
      <c r="G41" s="14" t="str">
        <f>IF(OR(F41="",F41=0),"",D41/(F41*IF($E$4="Cả năm",12,1)))</f>
        <v/>
      </c>
    </row>
    <row r="42" ht="20" customHeight="1">
      <c r="B42" s="10" t="s">
        <v>40</v>
      </c>
      <c r="C42" s="10"/>
      <c r="D42" s="12">
        <f>SUMIFS(GD_SoTien,GD_Loai,"Chi phí",GD_TinhBC,"&lt;&gt;Không",GD_HangMuc,$B42,GD_Ngay,"&gt;="&amp;$G$4,GD_Ngay,"&lt;="&amp;$I$4)</f>
        <v>20000</v>
      </c>
      <c r="E42" s="14">
        <f>IF($D$44=0,0,D42/$D$44)</f>
        <v>0.007321458903186885</v>
      </c>
      <c r="F42" s="15"/>
      <c r="G42" s="14" t="str">
        <f>IF(OR(F42="",F42=0),"",D42/(F42*IF($E$4="Cả năm",12,1)))</f>
        <v/>
      </c>
    </row>
    <row r="43" ht="20" customHeight="1">
      <c r="B43" s="10" t="s">
        <v>41</v>
      </c>
      <c r="C43" s="10"/>
      <c r="D43" s="12">
        <f>E7-SUM(D33:D42)</f>
        <v>0</v>
      </c>
      <c r="E43" s="14">
        <f>IF($D$44=0,0,D43/$D$44)</f>
        <v>0</v>
      </c>
      <c r="F43" s="12"/>
      <c r="G43" s="12"/>
    </row>
    <row r="44" ht="22" customHeight="1">
      <c r="B44" s="16" t="s">
        <v>42</v>
      </c>
      <c r="C44" s="16"/>
      <c r="D44" s="17">
        <f>SUM(D33:D43)</f>
        <v>2731696</v>
      </c>
      <c r="E44" s="19">
        <f>SUM(E33:E43)</f>
        <v>1</v>
      </c>
      <c r="F44" s="17"/>
      <c r="G44" s="17"/>
    </row>
    <row r="46" ht="24" customHeight="1">
      <c r="B46" s="7" t="str">
        <f>"THU NHẬP THEO HẠNG MỤC  ·  "&amp;IF($E$4="Cả năm","cả năm "&amp;$C$4,"tháng "&amp;$E$4&amp;"/"&amp;$C$4)</f>
        <v>THU NHẬP THEO HẠNG MỤC  ·  tháng 10/2026</v>
      </c>
      <c r="C46" s="7"/>
      <c r="D46" s="7"/>
      <c r="E46" s="7"/>
      <c r="F46" s="7"/>
      <c r="G46" s="7"/>
      <c r="I46" s="7" t="str">
        <f>"BIẾN ĐỘNG THEO NGUỒN TIỀN  ·  "&amp;IF($E$4="Cả năm","cả năm "&amp;$C$4,"tháng "&amp;$E$4&amp;"/"&amp;$C$4)</f>
        <v>BIẾN ĐỘNG THEO NGUỒN TIỀN  ·  tháng 10/2026</v>
      </c>
      <c r="J46" s="7"/>
      <c r="K46" s="7"/>
      <c r="L46" s="7"/>
      <c r="M46" s="7"/>
    </row>
    <row r="47" ht="28" customHeight="1">
      <c r="B47" s="9" t="s">
        <v>26</v>
      </c>
      <c r="C47" s="9"/>
      <c r="D47" s="8" t="s">
        <v>27</v>
      </c>
      <c r="E47" s="8" t="s">
        <v>43</v>
      </c>
      <c r="F47" s="8" t="s">
        <v>44</v>
      </c>
      <c r="G47" s="8" t="s">
        <v>45</v>
      </c>
      <c r="I47" s="9" t="s">
        <v>46</v>
      </c>
      <c r="J47" s="8" t="s">
        <v>20</v>
      </c>
      <c r="K47" s="8" t="s">
        <v>21</v>
      </c>
      <c r="L47" s="8" t="s">
        <v>22</v>
      </c>
      <c r="M47" s="8" t="s">
        <v>44</v>
      </c>
    </row>
    <row r="48" ht="20" customHeight="1">
      <c r="B48" s="10" t="s">
        <v>47</v>
      </c>
      <c r="C48" s="10"/>
      <c r="D48" s="12">
        <f>SUMIFS(GD_SoTien,GD_Loai,"Thu nhập",GD_TinhBC,"&lt;&gt;Không",GD_HangMuc,$B48,GD_Ngay,"&gt;="&amp;$G$4,GD_Ngay,"&lt;="&amp;$I$4)</f>
        <v>0</v>
      </c>
      <c r="E48" s="14">
        <f>IF($D$55=0,0,D48/$D$55)</f>
        <v>0</v>
      </c>
      <c r="F48" s="13">
        <f>COUNTIFS(GD_Loai,"Thu nhập",GD_TinhBC,"&lt;&gt;Không",GD_HangMuc,$B48,GD_Ngay,"&gt;="&amp;$G$4,GD_Ngay,"&lt;="&amp;$I$4)</f>
        <v>0</v>
      </c>
      <c r="G48" s="12">
        <f>IF(F48=0,0,D48/F48)</f>
        <v>0</v>
      </c>
      <c r="I48" s="10" t="s">
        <v>48</v>
      </c>
      <c r="J48" s="12">
        <f>SUMIFS(GD_SoTien,GD_Loai,"Thu nhập",GD_Nguon,$I48,GD_Ngay,"&gt;="&amp;$G$4,GD_Ngay,"&lt;="&amp;$I$4)</f>
        <v>10000</v>
      </c>
      <c r="K48" s="12">
        <f>SUMIFS(GD_SoTien,GD_Loai,"Chi phí",GD_Nguon,$I48,GD_Ngay,"&gt;="&amp;$G$4,GD_Ngay,"&lt;="&amp;$I$4)</f>
        <v>53000</v>
      </c>
      <c r="L48" s="12">
        <f>J48-K48</f>
        <v>-43000</v>
      </c>
      <c r="M48" s="13">
        <f>COUNTIFS(GD_Nguon,$I48,GD_Ngay,"&gt;="&amp;$G$4,GD_Ngay,"&lt;="&amp;$I$4)</f>
        <v>3</v>
      </c>
    </row>
    <row r="49" ht="20" customHeight="1">
      <c r="B49" s="10" t="s">
        <v>49</v>
      </c>
      <c r="C49" s="10"/>
      <c r="D49" s="12">
        <f>SUMIFS(GD_SoTien,GD_Loai,"Thu nhập",GD_TinhBC,"&lt;&gt;Không",GD_HangMuc,$B49,GD_Ngay,"&gt;="&amp;$G$4,GD_Ngay,"&lt;="&amp;$I$4)</f>
        <v>0</v>
      </c>
      <c r="E49" s="14">
        <f>IF($D$55=0,0,D49/$D$55)</f>
        <v>0</v>
      </c>
      <c r="F49" s="13">
        <f>COUNTIFS(GD_Loai,"Thu nhập",GD_TinhBC,"&lt;&gt;Không",GD_HangMuc,$B49,GD_Ngay,"&gt;="&amp;$G$4,GD_Ngay,"&lt;="&amp;$I$4)</f>
        <v>0</v>
      </c>
      <c r="G49" s="12">
        <f>IF(F49=0,0,D49/F49)</f>
        <v>0</v>
      </c>
      <c r="I49" s="10" t="s">
        <v>50</v>
      </c>
      <c r="J49" s="12">
        <f>SUMIFS(GD_SoTien,GD_Loai,"Thu nhập",GD_Nguon,$I49,GD_Ngay,"&gt;="&amp;$G$4,GD_Ngay,"&lt;="&amp;$I$4)</f>
        <v>3332000</v>
      </c>
      <c r="K49" s="12">
        <f>SUMIFS(GD_SoTien,GD_Loai,"Chi phí",GD_Nguon,$I49,GD_Ngay,"&gt;="&amp;$G$4,GD_Ngay,"&lt;="&amp;$I$4)</f>
        <v>2678696</v>
      </c>
      <c r="L49" s="12">
        <f>J49-K49</f>
        <v>653304</v>
      </c>
      <c r="M49" s="13">
        <f>COUNTIFS(GD_Nguon,$I49,GD_Ngay,"&gt;="&amp;$G$4,GD_Ngay,"&lt;="&amp;$I$4)</f>
        <v>49</v>
      </c>
    </row>
    <row r="50" ht="20" customHeight="1">
      <c r="B50" s="10" t="s">
        <v>51</v>
      </c>
      <c r="C50" s="10"/>
      <c r="D50" s="12">
        <f>SUMIFS(GD_SoTien,GD_Loai,"Thu nhập",GD_TinhBC,"&lt;&gt;Không",GD_HangMuc,$B50,GD_Ngay,"&gt;="&amp;$G$4,GD_Ngay,"&lt;="&amp;$I$4)</f>
        <v>0</v>
      </c>
      <c r="E50" s="14">
        <f>IF($D$55=0,0,D50/$D$55)</f>
        <v>0</v>
      </c>
      <c r="F50" s="13">
        <f>COUNTIFS(GD_Loai,"Thu nhập",GD_TinhBC,"&lt;&gt;Không",GD_HangMuc,$B50,GD_Ngay,"&gt;="&amp;$G$4,GD_Ngay,"&lt;="&amp;$I$4)</f>
        <v>0</v>
      </c>
      <c r="G50" s="12">
        <f>IF(F50=0,0,D50/F50)</f>
        <v>0</v>
      </c>
      <c r="I50" s="10" t="s">
        <v>52</v>
      </c>
      <c r="J50" s="12">
        <f>SUMIFS(GD_SoTien,GD_Loai,"Thu nhập",GD_Nguon,$I50,GD_Ngay,"&gt;="&amp;$G$4,GD_Ngay,"&lt;="&amp;$I$4)</f>
        <v>200000</v>
      </c>
      <c r="K50" s="12">
        <f>SUMIFS(GD_SoTien,GD_Loai,"Chi phí",GD_Nguon,$I50,GD_Ngay,"&gt;="&amp;$G$4,GD_Ngay,"&lt;="&amp;$I$4)</f>
        <v>0</v>
      </c>
      <c r="L50" s="12">
        <f>J50-K50</f>
        <v>200000</v>
      </c>
      <c r="M50" s="13">
        <f>COUNTIFS(GD_Nguon,$I50,GD_Ngay,"&gt;="&amp;$G$4,GD_Ngay,"&lt;="&amp;$I$4)</f>
        <v>1</v>
      </c>
    </row>
    <row r="51" ht="20" customHeight="1">
      <c r="B51" s="10" t="s">
        <v>53</v>
      </c>
      <c r="C51" s="10"/>
      <c r="D51" s="12">
        <f>SUMIFS(GD_SoTien,GD_Loai,"Thu nhập",GD_TinhBC,"&lt;&gt;Không",GD_HangMuc,$B51,GD_Ngay,"&gt;="&amp;$G$4,GD_Ngay,"&lt;="&amp;$I$4)</f>
        <v>0</v>
      </c>
      <c r="E51" s="14">
        <f>IF($D$55=0,0,D51/$D$55)</f>
        <v>0</v>
      </c>
      <c r="F51" s="13">
        <f>COUNTIFS(GD_Loai,"Thu nhập",GD_TinhBC,"&lt;&gt;Không",GD_HangMuc,$B51,GD_Ngay,"&gt;="&amp;$G$4,GD_Ngay,"&lt;="&amp;$I$4)</f>
        <v>0</v>
      </c>
      <c r="G51" s="12">
        <f>IF(F51=0,0,D51/F51)</f>
        <v>0</v>
      </c>
      <c r="I51" s="10" t="s">
        <v>54</v>
      </c>
      <c r="J51" s="12">
        <f>SUMIFS(GD_SoTien,GD_Loai,"Thu nhập",GD_Nguon,$I51,GD_Ngay,"&gt;="&amp;$G$4,GD_Ngay,"&lt;="&amp;$I$4)</f>
        <v>0</v>
      </c>
      <c r="K51" s="12">
        <f>SUMIFS(GD_SoTien,GD_Loai,"Chi phí",GD_Nguon,$I51,GD_Ngay,"&gt;="&amp;$G$4,GD_Ngay,"&lt;="&amp;$I$4)</f>
        <v>0</v>
      </c>
      <c r="L51" s="12">
        <f>J51-K51</f>
        <v>0</v>
      </c>
      <c r="M51" s="13">
        <f>COUNTIFS(GD_Nguon,$I51,GD_Ngay,"&gt;="&amp;$G$4,GD_Ngay,"&lt;="&amp;$I$4)</f>
        <v>0</v>
      </c>
    </row>
    <row r="52" ht="22" customHeight="1">
      <c r="B52" s="10" t="s">
        <v>55</v>
      </c>
      <c r="C52" s="10"/>
      <c r="D52" s="12">
        <f>SUMIFS(GD_SoTien,GD_Loai,"Thu nhập",GD_TinhBC,"&lt;&gt;Không",GD_HangMuc,$B52,GD_Ngay,"&gt;="&amp;$G$4,GD_Ngay,"&lt;="&amp;$I$4)</f>
        <v>5000</v>
      </c>
      <c r="E52" s="14">
        <f>IF($D$55=0,0,D52/$D$55)</f>
        <v>0.0016409583196586807</v>
      </c>
      <c r="F52" s="13">
        <f>COUNTIFS(GD_Loai,"Thu nhập",GD_TinhBC,"&lt;&gt;Không",GD_HangMuc,$B52,GD_Ngay,"&gt;="&amp;$G$4,GD_Ngay,"&lt;="&amp;$I$4)</f>
        <v>1</v>
      </c>
      <c r="G52" s="12">
        <f>IF(F52=0,0,D52/F52)</f>
        <v>5000</v>
      </c>
      <c r="I52" s="16" t="s">
        <v>56</v>
      </c>
      <c r="J52" s="17">
        <f>SUM(J48:J51)</f>
        <v>3542000</v>
      </c>
      <c r="K52" s="17">
        <f>SUM(K48:K51)</f>
        <v>2731696</v>
      </c>
      <c r="L52" s="17">
        <f>J52-K52</f>
        <v>810304</v>
      </c>
      <c r="M52" s="18">
        <f>SUM(M48:M51)</f>
        <v>53</v>
      </c>
    </row>
    <row r="53" ht="20" customHeight="1">
      <c r="B53" s="10" t="s">
        <v>57</v>
      </c>
      <c r="C53" s="10"/>
      <c r="D53" s="12">
        <f>SUMIFS(GD_SoTien,GD_Loai,"Thu nhập",GD_TinhBC,"&lt;&gt;Không",GD_HangMuc,$B53,GD_Ngay,"&gt;="&amp;$G$4,GD_Ngay,"&lt;="&amp;$I$4)</f>
        <v>3042000</v>
      </c>
      <c r="E53" s="14">
        <f>IF($D$55=0,0,D53/$D$55)</f>
        <v>0.9983590416803413</v>
      </c>
      <c r="F53" s="13">
        <f>COUNTIFS(GD_Loai,"Thu nhập",GD_TinhBC,"&lt;&gt;Không",GD_HangMuc,$B53,GD_Ngay,"&gt;="&amp;$G$4,GD_Ngay,"&lt;="&amp;$I$4)</f>
        <v>5</v>
      </c>
      <c r="G53" s="12">
        <f>IF(F53=0,0,D53/F53)</f>
        <v>608400</v>
      </c>
      <c r="I53" s="6" t="s">
        <v>58</v>
      </c>
      <c r="J53" s="6"/>
      <c r="K53" s="6"/>
      <c r="L53" s="6"/>
      <c r="M53" s="6"/>
    </row>
    <row r="54" ht="20" customHeight="1">
      <c r="B54" s="10" t="s">
        <v>41</v>
      </c>
      <c r="C54" s="10"/>
      <c r="D54" s="12">
        <f>B7-SUM(D48:D53)</f>
        <v>0</v>
      </c>
      <c r="E54" s="14">
        <f>IF($D$55=0,0,D54/$D$55)</f>
        <v>0</v>
      </c>
      <c r="F54" s="13">
        <f>COUNTIFS(GD_Loai,"Thu nhập",GD_TinhBC,"&lt;&gt;Không",GD_Ngay,"&gt;="&amp;$G$4,GD_Ngay,"&lt;="&amp;$I$4)-SUM(F48:F53)</f>
        <v>0</v>
      </c>
      <c r="G54" s="12">
        <f>IF(F54=0,0,D54/F54)</f>
        <v>0</v>
      </c>
    </row>
    <row r="55" ht="22" customHeight="1">
      <c r="B55" s="16" t="s">
        <v>59</v>
      </c>
      <c r="C55" s="16"/>
      <c r="D55" s="17">
        <f>SUM(D48:D54)</f>
        <v>3047000</v>
      </c>
      <c r="E55" s="19">
        <f>SUM(E48:E54)</f>
        <v>1</v>
      </c>
      <c r="F55" s="18">
        <f>SUM(F48:F54)</f>
        <v>6</v>
      </c>
      <c r="G55" s="17">
        <f>IF(F55=0,0,D55/F55)</f>
        <v>507833.3333333333</v>
      </c>
    </row>
    <row r="57" ht="22" customHeight="1">
      <c r="B57" s="7" t="s">
        <v>60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ht="28" customHeight="1">
      <c r="B58" s="20" t="s">
        <v>61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28" customHeight="1">
      <c r="B59" s="20" t="s">
        <v>62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ht="28" customHeight="1">
      <c r="B60" s="20" t="s">
        <v>63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ht="28" customHeight="1">
      <c r="B61" s="20" t="s">
        <v>64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</sheetData>
  <mergeCells count="60">
    <mergeCell ref="B1:M1"/>
    <mergeCell ref="B2:M2"/>
    <mergeCell ref="J4:M4"/>
    <mergeCell ref="B6:D6"/>
    <mergeCell ref="B7:D8"/>
    <mergeCell ref="B9:D9"/>
    <mergeCell ref="E6:G6"/>
    <mergeCell ref="E7:G8"/>
    <mergeCell ref="E9:G9"/>
    <mergeCell ref="H6:J6"/>
    <mergeCell ref="H7:J8"/>
    <mergeCell ref="H9:J9"/>
    <mergeCell ref="K6:M6"/>
    <mergeCell ref="K7:M8"/>
    <mergeCell ref="K9:M9"/>
    <mergeCell ref="B11:M11"/>
    <mergeCell ref="B12:C12"/>
    <mergeCell ref="B13:C13"/>
    <mergeCell ref="D12:E12"/>
    <mergeCell ref="D13:E13"/>
    <mergeCell ref="F12:G12"/>
    <mergeCell ref="F13:G13"/>
    <mergeCell ref="H12:I12"/>
    <mergeCell ref="H13:I13"/>
    <mergeCell ref="J12:K12"/>
    <mergeCell ref="J13:K13"/>
    <mergeCell ref="L12:M12"/>
    <mergeCell ref="L13:M13"/>
    <mergeCell ref="B15:G15"/>
    <mergeCell ref="B31:G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G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I46:M46"/>
    <mergeCell ref="I53:M53"/>
    <mergeCell ref="B57:M57"/>
    <mergeCell ref="B58:M58"/>
    <mergeCell ref="B59:M59"/>
    <mergeCell ref="B60:M60"/>
    <mergeCell ref="B61:M61"/>
  </mergeCells>
  <conditionalFormatting sqref="H7">
    <cfRule type="expression" dxfId="1" priority="1">
      <formula>$H$7&lt;0</formula>
    </cfRule>
    <cfRule type="expression" dxfId="0" priority="2">
      <formula>$H$7&gt;0</formula>
    </cfRule>
  </conditionalFormatting>
  <conditionalFormatting sqref="C17:C28">
    <cfRule type="dataBar" priority="3">
      <dataBar>
        <cfvo type="num" val="0"/>
        <cfvo type="max"/>
        <color rgb="FFA8DCC5"/>
      </dataBar>
    </cfRule>
  </conditionalFormatting>
  <conditionalFormatting sqref="D17:D28">
    <cfRule type="dataBar" priority="4">
      <dataBar>
        <cfvo type="num" val="0"/>
        <cfvo type="max"/>
        <color rgb="FFF2B5AD"/>
      </dataBar>
    </cfRule>
  </conditionalFormatting>
  <conditionalFormatting sqref="E17:E29">
    <cfRule type="expression" dxfId="2" priority="5">
      <formula>E17&gt;0</formula>
    </cfRule>
  </conditionalFormatting>
  <conditionalFormatting sqref="G33:G42">
    <cfRule type="expression" dxfId="3" priority="6">
      <formula>AND(ISNUMBER(G33),G33&gt;1)</formula>
    </cfRule>
    <cfRule type="expression" dxfId="4" priority="7">
      <formula>AND(ISNUMBER(G33),G33&gt;0.85)</formula>
    </cfRule>
    <cfRule type="expression" dxfId="2" priority="8">
      <formula>AND(ISNUMBER(G33),G33&lt;=0.85)</formula>
    </cfRule>
  </conditionalFormatting>
  <conditionalFormatting sqref="D33:D42">
    <cfRule type="dataBar" priority="9">
      <dataBar>
        <cfvo type="num" val="0"/>
        <cfvo type="max"/>
        <color rgb="FFF2B5AD"/>
      </dataBar>
    </cfRule>
  </conditionalFormatting>
  <conditionalFormatting sqref="L48:L52">
    <cfRule type="expression" dxfId="2" priority="10">
      <formula>L48&gt;0</formula>
    </cfRule>
  </conditionalFormatting>
  <dataValidations count="2">
    <dataValidation type="list" allowBlank="1" showInputMessage="1" showErrorMessage="1" errorTitle="Năm không hợp lệ" error="Chọn một năm trong danh sách." promptTitle="Năm" prompt="Chọn năm cần xem." sqref="C4">
      <formula1>"2025,2026"</formula1>
    </dataValidation>
    <dataValidation type="list" allowBlank="1" showInputMessage="1" showErrorMessage="1" errorTitle="Tháng không hợp lệ" error="Chọn &quot;Cả năm&quot; hoặc một tháng từ 1 đến 12." promptTitle="Tháng" prompt="Chọn &quot;Cả năm&quot; hoặc tháng 1–12." sqref="E4">
      <formula1>"Cả năm,1,2,3,4,5,6,7,8,9,10,11,12"</formula1>
    </dataValidation>
  </dataValidations>
  <pageMargins left="0.5" right="0.5" top="0.6" bottom="0.6" header="0.3" footer="0.3"/>
  <pageSetup paperSize="9" orientation="landscape" fitToWidth="1" fitToHeight="0"/>
  <headerFooter>
    <oddFooter>&amp;L&amp;8CashFlow&amp;C&amp;8&amp;A&amp;R&amp;8Trang &amp;P / &amp;N</oddFooter>
  </headerFooter>
  <rowBreaks count="1" manualBreakCount="1">
    <brk id="3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E7C86"/>
    <pageSetUpPr fitToPage="1"/>
  </sheetPr>
  <dimension ref="A1:G402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3" customWidth="1"/>
    <col min="2" max="2" width="13" customWidth="1"/>
    <col min="3" max="3" width="28" customWidth="1"/>
    <col min="4" max="4" width="46" customWidth="1"/>
    <col min="5" max="5" width="17" customWidth="1"/>
    <col min="6" max="6" width="18" customWidth="1"/>
    <col min="7" max="7" width="15" customWidth="1"/>
  </cols>
  <sheetData>
    <row r="1" ht="32" customHeight="1">
      <c r="A1" s="37" t="s">
        <v>65</v>
      </c>
      <c r="B1" s="37"/>
      <c r="C1" s="37"/>
      <c r="D1" s="37"/>
      <c r="E1" s="37"/>
      <c r="F1" s="37"/>
      <c r="G1" s="37"/>
    </row>
    <row r="2" ht="24" customHeight="1">
      <c r="A2" s="38" t="s">
        <v>66</v>
      </c>
      <c r="B2" s="38"/>
      <c r="C2" s="40">
        <f>SUBTOTAL(102,F5:F10000)</f>
        <v>398</v>
      </c>
      <c r="D2" s="39" t="s">
        <v>67</v>
      </c>
      <c r="E2" s="41">
        <f>SUBTOTAL(109,F5:F10000)</f>
        <v>54631696</v>
      </c>
      <c r="F2" s="41"/>
      <c r="G2" s="38"/>
    </row>
    <row r="3" ht="20" customHeight="1">
      <c r="A3" s="6" t="s">
        <v>68</v>
      </c>
      <c r="B3" s="6"/>
      <c r="C3" s="6"/>
      <c r="D3" s="6"/>
      <c r="E3" s="6"/>
      <c r="F3" s="6"/>
      <c r="G3" s="6"/>
    </row>
    <row r="4" ht="26" customHeight="1">
      <c r="A4" s="42" t="s">
        <v>69</v>
      </c>
      <c r="B4" s="42" t="s">
        <v>70</v>
      </c>
      <c r="C4" s="42" t="s">
        <v>26</v>
      </c>
      <c r="D4" s="42" t="s">
        <v>71</v>
      </c>
      <c r="E4" s="42" t="s">
        <v>72</v>
      </c>
      <c r="F4" s="42" t="s">
        <v>27</v>
      </c>
      <c r="G4" s="42" t="s">
        <v>73</v>
      </c>
    </row>
    <row r="5">
      <c r="A5" s="43">
        <v>46313</v>
      </c>
      <c r="B5" s="44" t="s">
        <v>21</v>
      </c>
      <c r="C5" s="45" t="s">
        <v>32</v>
      </c>
      <c r="D5" s="45" t="s">
        <v>74</v>
      </c>
      <c r="E5" s="45" t="s">
        <v>50</v>
      </c>
      <c r="F5" s="46">
        <v>20000</v>
      </c>
      <c r="G5" s="44" t="s">
        <v>75</v>
      </c>
    </row>
    <row r="6">
      <c r="A6" s="43">
        <v>46313</v>
      </c>
      <c r="B6" s="44" t="s">
        <v>21</v>
      </c>
      <c r="C6" s="45" t="s">
        <v>32</v>
      </c>
      <c r="D6" s="45" t="s">
        <v>76</v>
      </c>
      <c r="E6" s="45" t="s">
        <v>50</v>
      </c>
      <c r="F6" s="46">
        <v>8000</v>
      </c>
      <c r="G6" s="44" t="s">
        <v>75</v>
      </c>
    </row>
    <row r="7">
      <c r="A7" s="43">
        <v>46312</v>
      </c>
      <c r="B7" s="44" t="s">
        <v>21</v>
      </c>
      <c r="C7" s="45" t="s">
        <v>32</v>
      </c>
      <c r="D7" s="45" t="s">
        <v>74</v>
      </c>
      <c r="E7" s="45" t="s">
        <v>50</v>
      </c>
      <c r="F7" s="46">
        <v>10000</v>
      </c>
      <c r="G7" s="44" t="s">
        <v>75</v>
      </c>
    </row>
    <row r="8">
      <c r="A8" s="43">
        <v>46312</v>
      </c>
      <c r="B8" s="44" t="s">
        <v>21</v>
      </c>
      <c r="C8" s="45" t="s">
        <v>32</v>
      </c>
      <c r="D8" s="45" t="s">
        <v>77</v>
      </c>
      <c r="E8" s="45" t="s">
        <v>50</v>
      </c>
      <c r="F8" s="46">
        <v>25000</v>
      </c>
      <c r="G8" s="44" t="s">
        <v>75</v>
      </c>
    </row>
    <row r="9">
      <c r="A9" s="43">
        <v>46311</v>
      </c>
      <c r="B9" s="44" t="s">
        <v>21</v>
      </c>
      <c r="C9" s="45" t="s">
        <v>32</v>
      </c>
      <c r="D9" s="45" t="s">
        <v>78</v>
      </c>
      <c r="E9" s="45" t="s">
        <v>50</v>
      </c>
      <c r="F9" s="46">
        <v>20000</v>
      </c>
      <c r="G9" s="44" t="s">
        <v>75</v>
      </c>
    </row>
    <row r="10">
      <c r="A10" s="43">
        <v>46311</v>
      </c>
      <c r="B10" s="44" t="s">
        <v>21</v>
      </c>
      <c r="C10" s="45" t="s">
        <v>32</v>
      </c>
      <c r="D10" s="45" t="s">
        <v>79</v>
      </c>
      <c r="E10" s="45" t="s">
        <v>50</v>
      </c>
      <c r="F10" s="46">
        <v>25000</v>
      </c>
      <c r="G10" s="44" t="s">
        <v>75</v>
      </c>
    </row>
    <row r="11">
      <c r="A11" s="43">
        <v>46311</v>
      </c>
      <c r="B11" s="44" t="s">
        <v>20</v>
      </c>
      <c r="C11" s="45" t="s">
        <v>55</v>
      </c>
      <c r="D11" s="45" t="s">
        <v>80</v>
      </c>
      <c r="E11" s="45" t="s">
        <v>50</v>
      </c>
      <c r="F11" s="46">
        <v>5000</v>
      </c>
      <c r="G11" s="44" t="s">
        <v>75</v>
      </c>
    </row>
    <row r="12">
      <c r="A12" s="43">
        <v>46310</v>
      </c>
      <c r="B12" s="44" t="s">
        <v>21</v>
      </c>
      <c r="C12" s="45" t="s">
        <v>32</v>
      </c>
      <c r="D12" s="45" t="s">
        <v>78</v>
      </c>
      <c r="E12" s="45" t="s">
        <v>50</v>
      </c>
      <c r="F12" s="46">
        <v>12000</v>
      </c>
      <c r="G12" s="44" t="s">
        <v>75</v>
      </c>
    </row>
    <row r="13">
      <c r="A13" s="43">
        <v>46310</v>
      </c>
      <c r="B13" s="44" t="s">
        <v>20</v>
      </c>
      <c r="C13" s="45" t="s">
        <v>57</v>
      </c>
      <c r="D13" s="45" t="s">
        <v>81</v>
      </c>
      <c r="E13" s="45" t="s">
        <v>48</v>
      </c>
      <c r="F13" s="46">
        <v>10000</v>
      </c>
      <c r="G13" s="44" t="s">
        <v>75</v>
      </c>
    </row>
    <row r="14">
      <c r="A14" s="43">
        <v>46310</v>
      </c>
      <c r="B14" s="44" t="s">
        <v>20</v>
      </c>
      <c r="C14" s="45" t="s">
        <v>57</v>
      </c>
      <c r="D14" s="45" t="s">
        <v>81</v>
      </c>
      <c r="E14" s="45" t="s">
        <v>50</v>
      </c>
      <c r="F14" s="46">
        <v>8000</v>
      </c>
      <c r="G14" s="44" t="s">
        <v>75</v>
      </c>
    </row>
    <row r="15">
      <c r="A15" s="43">
        <v>46310</v>
      </c>
      <c r="B15" s="44" t="s">
        <v>21</v>
      </c>
      <c r="C15" s="45" t="s">
        <v>35</v>
      </c>
      <c r="D15" s="45" t="s">
        <v>82</v>
      </c>
      <c r="E15" s="45" t="s">
        <v>50</v>
      </c>
      <c r="F15" s="46">
        <v>50000</v>
      </c>
      <c r="G15" s="44" t="s">
        <v>75</v>
      </c>
    </row>
    <row r="16">
      <c r="A16" s="43">
        <v>46310</v>
      </c>
      <c r="B16" s="44" t="s">
        <v>21</v>
      </c>
      <c r="C16" s="45" t="s">
        <v>32</v>
      </c>
      <c r="D16" s="45" t="s">
        <v>83</v>
      </c>
      <c r="E16" s="45" t="s">
        <v>50</v>
      </c>
      <c r="F16" s="46">
        <v>25000</v>
      </c>
      <c r="G16" s="44" t="s">
        <v>75</v>
      </c>
    </row>
    <row r="17">
      <c r="A17" s="43">
        <v>46310</v>
      </c>
      <c r="B17" s="44" t="s">
        <v>21</v>
      </c>
      <c r="C17" s="45" t="s">
        <v>33</v>
      </c>
      <c r="D17" s="45" t="s">
        <v>84</v>
      </c>
      <c r="E17" s="45" t="s">
        <v>50</v>
      </c>
      <c r="F17" s="46">
        <v>5000</v>
      </c>
      <c r="G17" s="44" t="s">
        <v>75</v>
      </c>
    </row>
    <row r="18">
      <c r="A18" s="43">
        <v>46309</v>
      </c>
      <c r="B18" s="44" t="s">
        <v>21</v>
      </c>
      <c r="C18" s="45" t="s">
        <v>32</v>
      </c>
      <c r="D18" s="45" t="s">
        <v>85</v>
      </c>
      <c r="E18" s="45" t="s">
        <v>50</v>
      </c>
      <c r="F18" s="46">
        <v>25000</v>
      </c>
      <c r="G18" s="44" t="s">
        <v>75</v>
      </c>
    </row>
    <row r="19">
      <c r="A19" s="43">
        <v>46309</v>
      </c>
      <c r="B19" s="44" t="s">
        <v>21</v>
      </c>
      <c r="C19" s="45" t="s">
        <v>40</v>
      </c>
      <c r="D19" s="45" t="s">
        <v>86</v>
      </c>
      <c r="E19" s="45" t="s">
        <v>50</v>
      </c>
      <c r="F19" s="46">
        <v>20000</v>
      </c>
      <c r="G19" s="44" t="s">
        <v>75</v>
      </c>
    </row>
    <row r="20">
      <c r="A20" s="43">
        <v>46309</v>
      </c>
      <c r="B20" s="44" t="s">
        <v>20</v>
      </c>
      <c r="C20" s="45" t="s">
        <v>57</v>
      </c>
      <c r="D20" s="45" t="s">
        <v>81</v>
      </c>
      <c r="E20" s="45" t="s">
        <v>50</v>
      </c>
      <c r="F20" s="46">
        <v>16000</v>
      </c>
      <c r="G20" s="44" t="s">
        <v>75</v>
      </c>
    </row>
    <row r="21">
      <c r="A21" s="43">
        <v>46308</v>
      </c>
      <c r="B21" s="44" t="s">
        <v>21</v>
      </c>
      <c r="C21" s="45" t="s">
        <v>33</v>
      </c>
      <c r="D21" s="45" t="s">
        <v>87</v>
      </c>
      <c r="E21" s="45" t="s">
        <v>48</v>
      </c>
      <c r="F21" s="46">
        <v>50000</v>
      </c>
      <c r="G21" s="44" t="s">
        <v>75</v>
      </c>
    </row>
    <row r="22">
      <c r="A22" s="43">
        <v>46308</v>
      </c>
      <c r="B22" s="44" t="s">
        <v>20</v>
      </c>
      <c r="C22" s="45" t="s">
        <v>88</v>
      </c>
      <c r="D22" s="45" t="s">
        <v>89</v>
      </c>
      <c r="E22" s="45" t="s">
        <v>50</v>
      </c>
      <c r="F22" s="46">
        <v>25000</v>
      </c>
      <c r="G22" s="44" t="s">
        <v>90</v>
      </c>
    </row>
    <row r="23">
      <c r="A23" s="43">
        <v>46308</v>
      </c>
      <c r="B23" s="44" t="s">
        <v>21</v>
      </c>
      <c r="C23" s="45" t="s">
        <v>32</v>
      </c>
      <c r="D23" s="45" t="s">
        <v>91</v>
      </c>
      <c r="E23" s="45" t="s">
        <v>50</v>
      </c>
      <c r="F23" s="46">
        <v>25000</v>
      </c>
      <c r="G23" s="44" t="s">
        <v>75</v>
      </c>
    </row>
    <row r="24">
      <c r="A24" s="43">
        <v>46308</v>
      </c>
      <c r="B24" s="44" t="s">
        <v>21</v>
      </c>
      <c r="C24" s="45" t="s">
        <v>32</v>
      </c>
      <c r="D24" s="45" t="s">
        <v>92</v>
      </c>
      <c r="E24" s="45" t="s">
        <v>50</v>
      </c>
      <c r="F24" s="46">
        <v>12000</v>
      </c>
      <c r="G24" s="44" t="s">
        <v>75</v>
      </c>
    </row>
    <row r="25">
      <c r="A25" s="43">
        <v>46307</v>
      </c>
      <c r="B25" s="44" t="s">
        <v>21</v>
      </c>
      <c r="C25" s="45" t="s">
        <v>32</v>
      </c>
      <c r="D25" s="45" t="s">
        <v>93</v>
      </c>
      <c r="E25" s="45" t="s">
        <v>50</v>
      </c>
      <c r="F25" s="46">
        <v>30000</v>
      </c>
      <c r="G25" s="44" t="s">
        <v>75</v>
      </c>
    </row>
    <row r="26">
      <c r="A26" s="43">
        <v>46307</v>
      </c>
      <c r="B26" s="44" t="s">
        <v>21</v>
      </c>
      <c r="C26" s="45" t="s">
        <v>32</v>
      </c>
      <c r="D26" s="45" t="s">
        <v>94</v>
      </c>
      <c r="E26" s="45" t="s">
        <v>50</v>
      </c>
      <c r="F26" s="46">
        <v>30000</v>
      </c>
      <c r="G26" s="44" t="s">
        <v>75</v>
      </c>
    </row>
    <row r="27">
      <c r="A27" s="43">
        <v>46307</v>
      </c>
      <c r="B27" s="44" t="s">
        <v>21</v>
      </c>
      <c r="C27" s="45" t="s">
        <v>32</v>
      </c>
      <c r="D27" s="45" t="s">
        <v>85</v>
      </c>
      <c r="E27" s="45" t="s">
        <v>50</v>
      </c>
      <c r="F27" s="46">
        <v>25000</v>
      </c>
      <c r="G27" s="44" t="s">
        <v>75</v>
      </c>
    </row>
    <row r="28">
      <c r="A28" s="43">
        <v>46306</v>
      </c>
      <c r="B28" s="44" t="s">
        <v>21</v>
      </c>
      <c r="C28" s="45" t="s">
        <v>32</v>
      </c>
      <c r="D28" s="45" t="s">
        <v>83</v>
      </c>
      <c r="E28" s="45" t="s">
        <v>50</v>
      </c>
      <c r="F28" s="46">
        <v>25000</v>
      </c>
      <c r="G28" s="44" t="s">
        <v>75</v>
      </c>
    </row>
    <row r="29">
      <c r="A29" s="43">
        <v>46305</v>
      </c>
      <c r="B29" s="44" t="s">
        <v>21</v>
      </c>
      <c r="C29" s="45" t="s">
        <v>32</v>
      </c>
      <c r="D29" s="45" t="s">
        <v>95</v>
      </c>
      <c r="E29" s="45" t="s">
        <v>50</v>
      </c>
      <c r="F29" s="46">
        <v>20000</v>
      </c>
      <c r="G29" s="44" t="s">
        <v>75</v>
      </c>
    </row>
    <row r="30">
      <c r="A30" s="43">
        <v>46305</v>
      </c>
      <c r="B30" s="44" t="s">
        <v>21</v>
      </c>
      <c r="C30" s="45" t="s">
        <v>32</v>
      </c>
      <c r="D30" s="45" t="s">
        <v>96</v>
      </c>
      <c r="E30" s="45" t="s">
        <v>50</v>
      </c>
      <c r="F30" s="46">
        <v>25000</v>
      </c>
      <c r="G30" s="44" t="s">
        <v>75</v>
      </c>
    </row>
    <row r="31">
      <c r="A31" s="43">
        <v>46305</v>
      </c>
      <c r="B31" s="44" t="s">
        <v>20</v>
      </c>
      <c r="C31" s="45" t="s">
        <v>88</v>
      </c>
      <c r="D31" s="45" t="s">
        <v>97</v>
      </c>
      <c r="E31" s="45" t="s">
        <v>50</v>
      </c>
      <c r="F31" s="46">
        <v>180000</v>
      </c>
      <c r="G31" s="44" t="s">
        <v>90</v>
      </c>
    </row>
    <row r="32">
      <c r="A32" s="43">
        <v>46305</v>
      </c>
      <c r="B32" s="44" t="s">
        <v>21</v>
      </c>
      <c r="C32" s="45" t="s">
        <v>37</v>
      </c>
      <c r="D32" s="45" t="s">
        <v>98</v>
      </c>
      <c r="E32" s="45" t="s">
        <v>50</v>
      </c>
      <c r="F32" s="46">
        <v>150000</v>
      </c>
      <c r="G32" s="44" t="s">
        <v>75</v>
      </c>
    </row>
    <row r="33">
      <c r="A33" s="43">
        <v>46305</v>
      </c>
      <c r="B33" s="44" t="s">
        <v>21</v>
      </c>
      <c r="C33" s="45" t="s">
        <v>34</v>
      </c>
      <c r="D33" s="45" t="s">
        <v>99</v>
      </c>
      <c r="E33" s="45" t="s">
        <v>50</v>
      </c>
      <c r="F33" s="46">
        <v>78000</v>
      </c>
      <c r="G33" s="44" t="s">
        <v>75</v>
      </c>
    </row>
    <row r="34">
      <c r="A34" s="43">
        <v>46305</v>
      </c>
      <c r="B34" s="44" t="s">
        <v>21</v>
      </c>
      <c r="C34" s="45" t="s">
        <v>32</v>
      </c>
      <c r="D34" s="45" t="s">
        <v>100</v>
      </c>
      <c r="E34" s="45" t="s">
        <v>50</v>
      </c>
      <c r="F34" s="46">
        <v>6000</v>
      </c>
      <c r="G34" s="44" t="s">
        <v>75</v>
      </c>
    </row>
    <row r="35">
      <c r="A35" s="43">
        <v>46305</v>
      </c>
      <c r="B35" s="44" t="s">
        <v>20</v>
      </c>
      <c r="C35" s="45" t="s">
        <v>57</v>
      </c>
      <c r="D35" s="45" t="s">
        <v>101</v>
      </c>
      <c r="E35" s="45" t="s">
        <v>50</v>
      </c>
      <c r="F35" s="46">
        <v>8000</v>
      </c>
      <c r="G35" s="44" t="s">
        <v>75</v>
      </c>
    </row>
    <row r="36">
      <c r="A36" s="43">
        <v>46304</v>
      </c>
      <c r="B36" s="44" t="s">
        <v>21</v>
      </c>
      <c r="C36" s="45" t="s">
        <v>32</v>
      </c>
      <c r="D36" s="45" t="s">
        <v>102</v>
      </c>
      <c r="E36" s="45" t="s">
        <v>50</v>
      </c>
      <c r="F36" s="46">
        <v>10000</v>
      </c>
      <c r="G36" s="44" t="s">
        <v>75</v>
      </c>
    </row>
    <row r="37">
      <c r="A37" s="43">
        <v>46304</v>
      </c>
      <c r="B37" s="44" t="s">
        <v>21</v>
      </c>
      <c r="C37" s="45" t="s">
        <v>32</v>
      </c>
      <c r="D37" s="45" t="s">
        <v>103</v>
      </c>
      <c r="E37" s="45" t="s">
        <v>50</v>
      </c>
      <c r="F37" s="46">
        <v>25000</v>
      </c>
      <c r="G37" s="44" t="s">
        <v>75</v>
      </c>
    </row>
    <row r="38">
      <c r="A38" s="43">
        <v>46304</v>
      </c>
      <c r="B38" s="44" t="s">
        <v>21</v>
      </c>
      <c r="C38" s="45" t="s">
        <v>33</v>
      </c>
      <c r="D38" s="45" t="s">
        <v>104</v>
      </c>
      <c r="E38" s="45" t="s">
        <v>50</v>
      </c>
      <c r="F38" s="46">
        <v>20000</v>
      </c>
      <c r="G38" s="44" t="s">
        <v>75</v>
      </c>
    </row>
    <row r="39">
      <c r="A39" s="43">
        <v>46303</v>
      </c>
      <c r="B39" s="44" t="s">
        <v>21</v>
      </c>
      <c r="C39" s="45" t="s">
        <v>32</v>
      </c>
      <c r="D39" s="45" t="s">
        <v>105</v>
      </c>
      <c r="E39" s="45" t="s">
        <v>50</v>
      </c>
      <c r="F39" s="46">
        <v>20000</v>
      </c>
      <c r="G39" s="44" t="s">
        <v>75</v>
      </c>
    </row>
    <row r="40">
      <c r="A40" s="43">
        <v>46303</v>
      </c>
      <c r="B40" s="44" t="s">
        <v>21</v>
      </c>
      <c r="C40" s="45" t="s">
        <v>32</v>
      </c>
      <c r="D40" s="45" t="s">
        <v>106</v>
      </c>
      <c r="E40" s="45" t="s">
        <v>50</v>
      </c>
      <c r="F40" s="46">
        <v>25000</v>
      </c>
      <c r="G40" s="44" t="s">
        <v>75</v>
      </c>
    </row>
    <row r="41">
      <c r="A41" s="43">
        <v>46302</v>
      </c>
      <c r="B41" s="44" t="s">
        <v>21</v>
      </c>
      <c r="C41" s="45" t="s">
        <v>32</v>
      </c>
      <c r="D41" s="45" t="s">
        <v>107</v>
      </c>
      <c r="E41" s="45" t="s">
        <v>50</v>
      </c>
      <c r="F41" s="46">
        <v>40000</v>
      </c>
      <c r="G41" s="44" t="s">
        <v>75</v>
      </c>
    </row>
    <row r="42">
      <c r="A42" s="43">
        <v>46302</v>
      </c>
      <c r="B42" s="44" t="s">
        <v>21</v>
      </c>
      <c r="C42" s="45" t="s">
        <v>32</v>
      </c>
      <c r="D42" s="45" t="s">
        <v>85</v>
      </c>
      <c r="E42" s="45" t="s">
        <v>50</v>
      </c>
      <c r="F42" s="46">
        <v>25000</v>
      </c>
      <c r="G42" s="44" t="s">
        <v>75</v>
      </c>
    </row>
    <row r="43">
      <c r="A43" s="43">
        <v>46301</v>
      </c>
      <c r="B43" s="44" t="s">
        <v>21</v>
      </c>
      <c r="C43" s="45" t="s">
        <v>32</v>
      </c>
      <c r="D43" s="45" t="s">
        <v>108</v>
      </c>
      <c r="E43" s="45" t="s">
        <v>50</v>
      </c>
      <c r="F43" s="46">
        <v>10000</v>
      </c>
      <c r="G43" s="44" t="s">
        <v>75</v>
      </c>
    </row>
    <row r="44">
      <c r="A44" s="43">
        <v>46301</v>
      </c>
      <c r="B44" s="44" t="s">
        <v>21</v>
      </c>
      <c r="C44" s="45" t="s">
        <v>32</v>
      </c>
      <c r="D44" s="45" t="s">
        <v>109</v>
      </c>
      <c r="E44" s="45" t="s">
        <v>50</v>
      </c>
      <c r="F44" s="46">
        <v>25000</v>
      </c>
      <c r="G44" s="44" t="s">
        <v>75</v>
      </c>
    </row>
    <row r="45">
      <c r="A45" s="43">
        <v>46301</v>
      </c>
      <c r="B45" s="44" t="s">
        <v>20</v>
      </c>
      <c r="C45" s="45" t="s">
        <v>57</v>
      </c>
      <c r="D45" s="45" t="s">
        <v>110</v>
      </c>
      <c r="E45" s="45" t="s">
        <v>50</v>
      </c>
      <c r="F45" s="46">
        <v>3000000</v>
      </c>
      <c r="G45" s="44" t="s">
        <v>75</v>
      </c>
    </row>
    <row r="46">
      <c r="A46" s="43">
        <v>46301</v>
      </c>
      <c r="B46" s="44" t="s">
        <v>21</v>
      </c>
      <c r="C46" s="45" t="s">
        <v>31</v>
      </c>
      <c r="D46" s="45" t="s">
        <v>111</v>
      </c>
      <c r="E46" s="45" t="s">
        <v>50</v>
      </c>
      <c r="F46" s="46">
        <v>1477696</v>
      </c>
      <c r="G46" s="44" t="s">
        <v>75</v>
      </c>
    </row>
    <row r="47">
      <c r="A47" s="43">
        <v>46300</v>
      </c>
      <c r="B47" s="44" t="s">
        <v>21</v>
      </c>
      <c r="C47" s="45" t="s">
        <v>32</v>
      </c>
      <c r="D47" s="45" t="s">
        <v>112</v>
      </c>
      <c r="E47" s="45" t="s">
        <v>50</v>
      </c>
      <c r="F47" s="46">
        <v>25000</v>
      </c>
      <c r="G47" s="44" t="s">
        <v>75</v>
      </c>
    </row>
    <row r="48">
      <c r="A48" s="43">
        <v>46299</v>
      </c>
      <c r="B48" s="44" t="s">
        <v>21</v>
      </c>
      <c r="C48" s="45" t="s">
        <v>32</v>
      </c>
      <c r="D48" s="45" t="s">
        <v>83</v>
      </c>
      <c r="E48" s="45" t="s">
        <v>50</v>
      </c>
      <c r="F48" s="46">
        <v>25000</v>
      </c>
      <c r="G48" s="44" t="s">
        <v>75</v>
      </c>
    </row>
    <row r="49">
      <c r="A49" s="43">
        <v>46299</v>
      </c>
      <c r="B49" s="44" t="s">
        <v>21</v>
      </c>
      <c r="C49" s="45" t="s">
        <v>32</v>
      </c>
      <c r="D49" s="45" t="s">
        <v>113</v>
      </c>
      <c r="E49" s="45" t="s">
        <v>50</v>
      </c>
      <c r="F49" s="46">
        <v>10000</v>
      </c>
      <c r="G49" s="44" t="s">
        <v>75</v>
      </c>
    </row>
    <row r="50">
      <c r="A50" s="43">
        <v>46298</v>
      </c>
      <c r="B50" s="44" t="s">
        <v>21</v>
      </c>
      <c r="C50" s="45" t="s">
        <v>33</v>
      </c>
      <c r="D50" s="45" t="s">
        <v>84</v>
      </c>
      <c r="E50" s="45" t="s">
        <v>48</v>
      </c>
      <c r="F50" s="46">
        <v>3000</v>
      </c>
      <c r="G50" s="44" t="s">
        <v>75</v>
      </c>
    </row>
    <row r="51">
      <c r="A51" s="43">
        <v>46298</v>
      </c>
      <c r="B51" s="44" t="s">
        <v>21</v>
      </c>
      <c r="C51" s="45" t="s">
        <v>32</v>
      </c>
      <c r="D51" s="45" t="s">
        <v>114</v>
      </c>
      <c r="E51" s="45" t="s">
        <v>50</v>
      </c>
      <c r="F51" s="46">
        <v>25000</v>
      </c>
      <c r="G51" s="44" t="s">
        <v>75</v>
      </c>
    </row>
    <row r="52">
      <c r="A52" s="43">
        <v>46298</v>
      </c>
      <c r="B52" s="44" t="s">
        <v>20</v>
      </c>
      <c r="C52" s="45" t="s">
        <v>88</v>
      </c>
      <c r="D52" s="45" t="s">
        <v>115</v>
      </c>
      <c r="E52" s="45" t="s">
        <v>50</v>
      </c>
      <c r="F52" s="46">
        <v>90000</v>
      </c>
      <c r="G52" s="44" t="s">
        <v>90</v>
      </c>
    </row>
    <row r="53">
      <c r="A53" s="43">
        <v>46297</v>
      </c>
      <c r="B53" s="44" t="s">
        <v>20</v>
      </c>
      <c r="C53" s="45" t="s">
        <v>116</v>
      </c>
      <c r="D53" s="45" t="s">
        <v>117</v>
      </c>
      <c r="E53" s="45" t="s">
        <v>52</v>
      </c>
      <c r="F53" s="46">
        <v>200000</v>
      </c>
      <c r="G53" s="44" t="s">
        <v>90</v>
      </c>
    </row>
    <row r="54">
      <c r="A54" s="43">
        <v>46297</v>
      </c>
      <c r="B54" s="44" t="s">
        <v>21</v>
      </c>
      <c r="C54" s="45" t="s">
        <v>34</v>
      </c>
      <c r="D54" s="45" t="s">
        <v>118</v>
      </c>
      <c r="E54" s="45" t="s">
        <v>50</v>
      </c>
      <c r="F54" s="46">
        <v>200000</v>
      </c>
      <c r="G54" s="44" t="s">
        <v>75</v>
      </c>
    </row>
    <row r="55">
      <c r="A55" s="43">
        <v>46297</v>
      </c>
      <c r="B55" s="44" t="s">
        <v>21</v>
      </c>
      <c r="C55" s="45" t="s">
        <v>32</v>
      </c>
      <c r="D55" s="45" t="s">
        <v>74</v>
      </c>
      <c r="E55" s="45" t="s">
        <v>50</v>
      </c>
      <c r="F55" s="46">
        <v>10000</v>
      </c>
      <c r="G55" s="44" t="s">
        <v>75</v>
      </c>
    </row>
    <row r="56">
      <c r="A56" s="43">
        <v>46297</v>
      </c>
      <c r="B56" s="44" t="s">
        <v>21</v>
      </c>
      <c r="C56" s="45" t="s">
        <v>32</v>
      </c>
      <c r="D56" s="45" t="s">
        <v>103</v>
      </c>
      <c r="E56" s="45" t="s">
        <v>50</v>
      </c>
      <c r="F56" s="46">
        <v>25000</v>
      </c>
      <c r="G56" s="44" t="s">
        <v>75</v>
      </c>
    </row>
    <row r="57">
      <c r="A57" s="43">
        <v>46297</v>
      </c>
      <c r="B57" s="44" t="s">
        <v>21</v>
      </c>
      <c r="C57" s="45" t="s">
        <v>35</v>
      </c>
      <c r="D57" s="45" t="s">
        <v>119</v>
      </c>
      <c r="E57" s="45" t="s">
        <v>50</v>
      </c>
      <c r="F57" s="46">
        <v>10000</v>
      </c>
      <c r="G57" s="44" t="s">
        <v>75</v>
      </c>
    </row>
    <row r="58">
      <c r="A58" s="43">
        <v>46290</v>
      </c>
      <c r="B58" s="44" t="s">
        <v>21</v>
      </c>
      <c r="C58" s="45" t="s">
        <v>40</v>
      </c>
      <c r="D58" s="45" t="s">
        <v>120</v>
      </c>
      <c r="E58" s="45" t="s">
        <v>54</v>
      </c>
      <c r="F58" s="46">
        <v>20000</v>
      </c>
      <c r="G58" s="44" t="s">
        <v>75</v>
      </c>
    </row>
    <row r="59">
      <c r="A59" s="43">
        <v>46290</v>
      </c>
      <c r="B59" s="44" t="s">
        <v>21</v>
      </c>
      <c r="C59" s="45" t="s">
        <v>32</v>
      </c>
      <c r="D59" s="45" t="s">
        <v>121</v>
      </c>
      <c r="E59" s="45" t="s">
        <v>54</v>
      </c>
      <c r="F59" s="46">
        <v>20000</v>
      </c>
      <c r="G59" s="44" t="s">
        <v>75</v>
      </c>
    </row>
    <row r="60">
      <c r="A60" s="43">
        <v>46290</v>
      </c>
      <c r="B60" s="44" t="s">
        <v>21</v>
      </c>
      <c r="C60" s="45" t="s">
        <v>32</v>
      </c>
      <c r="D60" s="45" t="s">
        <v>83</v>
      </c>
      <c r="E60" s="45" t="s">
        <v>54</v>
      </c>
      <c r="F60" s="46">
        <v>30000</v>
      </c>
      <c r="G60" s="44" t="s">
        <v>75</v>
      </c>
    </row>
    <row r="61">
      <c r="A61" s="43">
        <v>46289</v>
      </c>
      <c r="B61" s="44" t="s">
        <v>21</v>
      </c>
      <c r="C61" s="45" t="s">
        <v>32</v>
      </c>
      <c r="D61" s="45" t="s">
        <v>122</v>
      </c>
      <c r="E61" s="45" t="s">
        <v>54</v>
      </c>
      <c r="F61" s="46">
        <v>12000</v>
      </c>
      <c r="G61" s="44" t="s">
        <v>75</v>
      </c>
    </row>
    <row r="62">
      <c r="A62" s="43">
        <v>46288</v>
      </c>
      <c r="B62" s="44" t="s">
        <v>21</v>
      </c>
      <c r="C62" s="45" t="s">
        <v>32</v>
      </c>
      <c r="D62" s="45" t="s">
        <v>83</v>
      </c>
      <c r="E62" s="45" t="s">
        <v>54</v>
      </c>
      <c r="F62" s="46">
        <v>25000</v>
      </c>
      <c r="G62" s="44" t="s">
        <v>75</v>
      </c>
    </row>
    <row r="63">
      <c r="A63" s="43">
        <v>46288</v>
      </c>
      <c r="B63" s="44" t="s">
        <v>20</v>
      </c>
      <c r="C63" s="45" t="s">
        <v>57</v>
      </c>
      <c r="D63" s="45" t="s">
        <v>123</v>
      </c>
      <c r="E63" s="45" t="s">
        <v>54</v>
      </c>
      <c r="F63" s="46">
        <v>30000</v>
      </c>
      <c r="G63" s="44" t="s">
        <v>75</v>
      </c>
    </row>
    <row r="64">
      <c r="A64" s="43">
        <v>46287</v>
      </c>
      <c r="B64" s="44" t="s">
        <v>21</v>
      </c>
      <c r="C64" s="45" t="s">
        <v>32</v>
      </c>
      <c r="D64" s="45" t="s">
        <v>124</v>
      </c>
      <c r="E64" s="45" t="s">
        <v>54</v>
      </c>
      <c r="F64" s="46">
        <v>13000</v>
      </c>
      <c r="G64" s="44" t="s">
        <v>75</v>
      </c>
    </row>
    <row r="65">
      <c r="A65" s="43">
        <v>46287</v>
      </c>
      <c r="B65" s="44" t="s">
        <v>21</v>
      </c>
      <c r="C65" s="45" t="s">
        <v>32</v>
      </c>
      <c r="D65" s="45" t="s">
        <v>74</v>
      </c>
      <c r="E65" s="45" t="s">
        <v>54</v>
      </c>
      <c r="F65" s="46">
        <v>13000</v>
      </c>
      <c r="G65" s="44" t="s">
        <v>75</v>
      </c>
    </row>
    <row r="66">
      <c r="A66" s="43">
        <v>46287</v>
      </c>
      <c r="B66" s="44" t="s">
        <v>21</v>
      </c>
      <c r="C66" s="45" t="s">
        <v>32</v>
      </c>
      <c r="D66" s="45" t="s">
        <v>125</v>
      </c>
      <c r="E66" s="45" t="s">
        <v>54</v>
      </c>
      <c r="F66" s="46">
        <v>25000</v>
      </c>
      <c r="G66" s="44" t="s">
        <v>75</v>
      </c>
    </row>
    <row r="67">
      <c r="A67" s="43">
        <v>46287</v>
      </c>
      <c r="B67" s="44" t="s">
        <v>20</v>
      </c>
      <c r="C67" s="45" t="s">
        <v>57</v>
      </c>
      <c r="D67" s="45" t="s">
        <v>126</v>
      </c>
      <c r="E67" s="45" t="s">
        <v>54</v>
      </c>
      <c r="F67" s="46">
        <v>15000</v>
      </c>
      <c r="G67" s="44" t="s">
        <v>75</v>
      </c>
    </row>
    <row r="68">
      <c r="A68" s="43">
        <v>46287</v>
      </c>
      <c r="B68" s="44" t="s">
        <v>20</v>
      </c>
      <c r="C68" s="45" t="s">
        <v>57</v>
      </c>
      <c r="D68" s="45" t="s">
        <v>127</v>
      </c>
      <c r="E68" s="45" t="s">
        <v>54</v>
      </c>
      <c r="F68" s="46">
        <v>10000</v>
      </c>
      <c r="G68" s="44" t="s">
        <v>75</v>
      </c>
    </row>
    <row r="69">
      <c r="A69" s="43">
        <v>46286</v>
      </c>
      <c r="B69" s="44" t="s">
        <v>21</v>
      </c>
      <c r="C69" s="45" t="s">
        <v>34</v>
      </c>
      <c r="D69" s="45" t="s">
        <v>128</v>
      </c>
      <c r="E69" s="45" t="s">
        <v>54</v>
      </c>
      <c r="F69" s="46">
        <v>50000</v>
      </c>
      <c r="G69" s="44" t="s">
        <v>75</v>
      </c>
    </row>
    <row r="70">
      <c r="A70" s="43">
        <v>46286</v>
      </c>
      <c r="B70" s="44" t="s">
        <v>21</v>
      </c>
      <c r="C70" s="45" t="s">
        <v>32</v>
      </c>
      <c r="D70" s="45" t="s">
        <v>129</v>
      </c>
      <c r="E70" s="45" t="s">
        <v>54</v>
      </c>
      <c r="F70" s="46">
        <v>25000</v>
      </c>
      <c r="G70" s="44" t="s">
        <v>75</v>
      </c>
    </row>
    <row r="71">
      <c r="A71" s="43">
        <v>46286</v>
      </c>
      <c r="B71" s="44" t="s">
        <v>21</v>
      </c>
      <c r="C71" s="45" t="s">
        <v>32</v>
      </c>
      <c r="D71" s="45" t="s">
        <v>130</v>
      </c>
      <c r="E71" s="45" t="s">
        <v>54</v>
      </c>
      <c r="F71" s="46">
        <v>12000</v>
      </c>
      <c r="G71" s="44" t="s">
        <v>75</v>
      </c>
    </row>
    <row r="72">
      <c r="A72" s="43">
        <v>46286</v>
      </c>
      <c r="B72" s="44" t="s">
        <v>21</v>
      </c>
      <c r="C72" s="45" t="s">
        <v>36</v>
      </c>
      <c r="D72" s="45" t="s">
        <v>131</v>
      </c>
      <c r="E72" s="45" t="s">
        <v>54</v>
      </c>
      <c r="F72" s="46">
        <v>40000</v>
      </c>
      <c r="G72" s="44" t="s">
        <v>75</v>
      </c>
    </row>
    <row r="73">
      <c r="A73" s="43">
        <v>46286</v>
      </c>
      <c r="B73" s="44" t="s">
        <v>21</v>
      </c>
      <c r="C73" s="45" t="s">
        <v>32</v>
      </c>
      <c r="D73" s="45" t="s">
        <v>83</v>
      </c>
      <c r="E73" s="45" t="s">
        <v>54</v>
      </c>
      <c r="F73" s="46">
        <v>25000</v>
      </c>
      <c r="G73" s="44" t="s">
        <v>75</v>
      </c>
    </row>
    <row r="74">
      <c r="A74" s="43">
        <v>46285</v>
      </c>
      <c r="B74" s="44" t="s">
        <v>21</v>
      </c>
      <c r="C74" s="45" t="s">
        <v>32</v>
      </c>
      <c r="D74" s="45" t="s">
        <v>74</v>
      </c>
      <c r="E74" s="45" t="s">
        <v>54</v>
      </c>
      <c r="F74" s="46">
        <v>10000</v>
      </c>
      <c r="G74" s="44" t="s">
        <v>75</v>
      </c>
    </row>
    <row r="75">
      <c r="A75" s="43">
        <v>46285</v>
      </c>
      <c r="B75" s="44" t="s">
        <v>21</v>
      </c>
      <c r="C75" s="45" t="s">
        <v>32</v>
      </c>
      <c r="D75" s="45" t="s">
        <v>103</v>
      </c>
      <c r="E75" s="45" t="s">
        <v>54</v>
      </c>
      <c r="F75" s="46">
        <v>25000</v>
      </c>
      <c r="G75" s="44" t="s">
        <v>75</v>
      </c>
    </row>
    <row r="76">
      <c r="A76" s="43">
        <v>46284</v>
      </c>
      <c r="B76" s="44" t="s">
        <v>21</v>
      </c>
      <c r="C76" s="45" t="s">
        <v>32</v>
      </c>
      <c r="D76" s="45" t="s">
        <v>132</v>
      </c>
      <c r="E76" s="45" t="s">
        <v>54</v>
      </c>
      <c r="F76" s="46">
        <v>6000</v>
      </c>
      <c r="G76" s="44" t="s">
        <v>75</v>
      </c>
    </row>
    <row r="77">
      <c r="A77" s="43">
        <v>46284</v>
      </c>
      <c r="B77" s="44" t="s">
        <v>21</v>
      </c>
      <c r="C77" s="45" t="s">
        <v>32</v>
      </c>
      <c r="D77" s="45" t="s">
        <v>133</v>
      </c>
      <c r="E77" s="45" t="s">
        <v>54</v>
      </c>
      <c r="F77" s="46">
        <v>15000</v>
      </c>
      <c r="G77" s="44" t="s">
        <v>75</v>
      </c>
    </row>
    <row r="78">
      <c r="A78" s="43">
        <v>46284</v>
      </c>
      <c r="B78" s="44" t="s">
        <v>21</v>
      </c>
      <c r="C78" s="45" t="s">
        <v>32</v>
      </c>
      <c r="D78" s="45" t="s">
        <v>91</v>
      </c>
      <c r="E78" s="45" t="s">
        <v>54</v>
      </c>
      <c r="F78" s="46">
        <v>25000</v>
      </c>
      <c r="G78" s="44" t="s">
        <v>75</v>
      </c>
    </row>
    <row r="79">
      <c r="A79" s="43">
        <v>46284</v>
      </c>
      <c r="B79" s="44" t="s">
        <v>21</v>
      </c>
      <c r="C79" s="45" t="s">
        <v>34</v>
      </c>
      <c r="D79" s="45" t="s">
        <v>134</v>
      </c>
      <c r="E79" s="45" t="s">
        <v>54</v>
      </c>
      <c r="F79" s="46">
        <v>50000</v>
      </c>
      <c r="G79" s="44" t="s">
        <v>75</v>
      </c>
    </row>
    <row r="80">
      <c r="A80" s="43">
        <v>46284</v>
      </c>
      <c r="B80" s="44" t="s">
        <v>20</v>
      </c>
      <c r="C80" s="45" t="s">
        <v>57</v>
      </c>
      <c r="D80" s="45" t="s">
        <v>135</v>
      </c>
      <c r="E80" s="45" t="s">
        <v>54</v>
      </c>
      <c r="F80" s="46">
        <v>25000</v>
      </c>
      <c r="G80" s="44" t="s">
        <v>75</v>
      </c>
    </row>
    <row r="81">
      <c r="A81" s="43">
        <v>46283</v>
      </c>
      <c r="B81" s="44" t="s">
        <v>21</v>
      </c>
      <c r="C81" s="45" t="s">
        <v>32</v>
      </c>
      <c r="D81" s="45" t="s">
        <v>136</v>
      </c>
      <c r="E81" s="45" t="s">
        <v>54</v>
      </c>
      <c r="F81" s="46">
        <v>12000</v>
      </c>
      <c r="G81" s="44" t="s">
        <v>75</v>
      </c>
    </row>
    <row r="82">
      <c r="A82" s="43">
        <v>46283</v>
      </c>
      <c r="B82" s="44" t="s">
        <v>21</v>
      </c>
      <c r="C82" s="45" t="s">
        <v>32</v>
      </c>
      <c r="D82" s="45" t="s">
        <v>137</v>
      </c>
      <c r="E82" s="45" t="s">
        <v>54</v>
      </c>
      <c r="F82" s="46">
        <v>25000</v>
      </c>
      <c r="G82" s="44" t="s">
        <v>75</v>
      </c>
    </row>
    <row r="83">
      <c r="A83" s="43">
        <v>46283</v>
      </c>
      <c r="B83" s="44" t="s">
        <v>21</v>
      </c>
      <c r="C83" s="45" t="s">
        <v>34</v>
      </c>
      <c r="D83" s="45" t="s">
        <v>138</v>
      </c>
      <c r="E83" s="45" t="s">
        <v>54</v>
      </c>
      <c r="F83" s="46">
        <v>25000</v>
      </c>
      <c r="G83" s="44" t="s">
        <v>75</v>
      </c>
    </row>
    <row r="84">
      <c r="A84" s="43">
        <v>46282</v>
      </c>
      <c r="B84" s="44" t="s">
        <v>21</v>
      </c>
      <c r="C84" s="45" t="s">
        <v>32</v>
      </c>
      <c r="D84" s="45" t="s">
        <v>139</v>
      </c>
      <c r="E84" s="45" t="s">
        <v>54</v>
      </c>
      <c r="F84" s="46">
        <v>20000</v>
      </c>
      <c r="G84" s="44" t="s">
        <v>75</v>
      </c>
    </row>
    <row r="85">
      <c r="A85" s="43">
        <v>46282</v>
      </c>
      <c r="B85" s="44" t="s">
        <v>21</v>
      </c>
      <c r="C85" s="45" t="s">
        <v>32</v>
      </c>
      <c r="D85" s="45" t="s">
        <v>140</v>
      </c>
      <c r="E85" s="45" t="s">
        <v>54</v>
      </c>
      <c r="F85" s="46">
        <v>25000</v>
      </c>
      <c r="G85" s="44" t="s">
        <v>75</v>
      </c>
    </row>
    <row r="86">
      <c r="A86" s="43">
        <v>46282</v>
      </c>
      <c r="B86" s="44" t="s">
        <v>21</v>
      </c>
      <c r="C86" s="45" t="s">
        <v>33</v>
      </c>
      <c r="D86" s="45" t="s">
        <v>141</v>
      </c>
      <c r="E86" s="45" t="s">
        <v>54</v>
      </c>
      <c r="F86" s="46">
        <v>20000</v>
      </c>
      <c r="G86" s="44" t="s">
        <v>75</v>
      </c>
    </row>
    <row r="87">
      <c r="A87" s="43">
        <v>46281</v>
      </c>
      <c r="B87" s="44" t="s">
        <v>21</v>
      </c>
      <c r="C87" s="45" t="s">
        <v>32</v>
      </c>
      <c r="D87" s="45" t="s">
        <v>142</v>
      </c>
      <c r="E87" s="45" t="s">
        <v>54</v>
      </c>
      <c r="F87" s="46">
        <v>30000</v>
      </c>
      <c r="G87" s="44" t="s">
        <v>75</v>
      </c>
    </row>
    <row r="88">
      <c r="A88" s="43">
        <v>46281</v>
      </c>
      <c r="B88" s="44" t="s">
        <v>21</v>
      </c>
      <c r="C88" s="45" t="s">
        <v>32</v>
      </c>
      <c r="D88" s="45" t="s">
        <v>143</v>
      </c>
      <c r="E88" s="45" t="s">
        <v>54</v>
      </c>
      <c r="F88" s="46">
        <v>25000</v>
      </c>
      <c r="G88" s="44" t="s">
        <v>75</v>
      </c>
    </row>
    <row r="89">
      <c r="A89" s="43">
        <v>46281</v>
      </c>
      <c r="B89" s="44" t="s">
        <v>20</v>
      </c>
      <c r="C89" s="45" t="s">
        <v>57</v>
      </c>
      <c r="D89" s="45" t="s">
        <v>144</v>
      </c>
      <c r="E89" s="45" t="s">
        <v>54</v>
      </c>
      <c r="F89" s="46">
        <v>153000</v>
      </c>
      <c r="G89" s="44" t="s">
        <v>75</v>
      </c>
    </row>
    <row r="90">
      <c r="A90" s="43">
        <v>46280</v>
      </c>
      <c r="B90" s="44" t="s">
        <v>21</v>
      </c>
      <c r="C90" s="45" t="s">
        <v>32</v>
      </c>
      <c r="D90" s="45" t="s">
        <v>145</v>
      </c>
      <c r="E90" s="45" t="s">
        <v>54</v>
      </c>
      <c r="F90" s="46">
        <v>30000</v>
      </c>
      <c r="G90" s="44" t="s">
        <v>75</v>
      </c>
    </row>
    <row r="91">
      <c r="A91" s="43">
        <v>46280</v>
      </c>
      <c r="B91" s="44" t="s">
        <v>21</v>
      </c>
      <c r="C91" s="45" t="s">
        <v>32</v>
      </c>
      <c r="D91" s="45" t="s">
        <v>146</v>
      </c>
      <c r="E91" s="45" t="s">
        <v>54</v>
      </c>
      <c r="F91" s="46">
        <v>25000</v>
      </c>
      <c r="G91" s="44" t="s">
        <v>75</v>
      </c>
    </row>
    <row r="92">
      <c r="A92" s="43">
        <v>46279</v>
      </c>
      <c r="B92" s="44" t="s">
        <v>21</v>
      </c>
      <c r="C92" s="45" t="s">
        <v>32</v>
      </c>
      <c r="D92" s="45" t="s">
        <v>147</v>
      </c>
      <c r="E92" s="45" t="s">
        <v>54</v>
      </c>
      <c r="F92" s="46">
        <v>30000</v>
      </c>
      <c r="G92" s="44" t="s">
        <v>75</v>
      </c>
    </row>
    <row r="93">
      <c r="A93" s="43">
        <v>46279</v>
      </c>
      <c r="B93" s="44" t="s">
        <v>20</v>
      </c>
      <c r="C93" s="45" t="s">
        <v>57</v>
      </c>
      <c r="D93" s="45" t="s">
        <v>148</v>
      </c>
      <c r="E93" s="45" t="s">
        <v>54</v>
      </c>
      <c r="F93" s="46">
        <v>600000</v>
      </c>
      <c r="G93" s="44" t="s">
        <v>75</v>
      </c>
    </row>
    <row r="94">
      <c r="A94" s="43">
        <v>46278</v>
      </c>
      <c r="B94" s="44" t="s">
        <v>21</v>
      </c>
      <c r="C94" s="45" t="s">
        <v>32</v>
      </c>
      <c r="D94" s="45" t="s">
        <v>149</v>
      </c>
      <c r="E94" s="45" t="s">
        <v>54</v>
      </c>
      <c r="F94" s="46">
        <v>20000</v>
      </c>
      <c r="G94" s="44" t="s">
        <v>75</v>
      </c>
    </row>
    <row r="95">
      <c r="A95" s="43">
        <v>46278</v>
      </c>
      <c r="B95" s="44" t="s">
        <v>21</v>
      </c>
      <c r="C95" s="45" t="s">
        <v>35</v>
      </c>
      <c r="D95" s="45" t="s">
        <v>150</v>
      </c>
      <c r="E95" s="45" t="s">
        <v>54</v>
      </c>
      <c r="F95" s="46">
        <v>114000</v>
      </c>
      <c r="G95" s="44" t="s">
        <v>75</v>
      </c>
    </row>
    <row r="96">
      <c r="A96" s="43">
        <v>46278</v>
      </c>
      <c r="B96" s="44" t="s">
        <v>21</v>
      </c>
      <c r="C96" s="45" t="s">
        <v>32</v>
      </c>
      <c r="D96" s="45" t="s">
        <v>91</v>
      </c>
      <c r="E96" s="45" t="s">
        <v>54</v>
      </c>
      <c r="F96" s="46">
        <v>25000</v>
      </c>
      <c r="G96" s="44" t="s">
        <v>75</v>
      </c>
    </row>
    <row r="97">
      <c r="A97" s="43">
        <v>46278</v>
      </c>
      <c r="B97" s="44" t="s">
        <v>20</v>
      </c>
      <c r="C97" s="45" t="s">
        <v>57</v>
      </c>
      <c r="D97" s="45" t="s">
        <v>151</v>
      </c>
      <c r="E97" s="45" t="s">
        <v>54</v>
      </c>
      <c r="F97" s="46">
        <v>52000</v>
      </c>
      <c r="G97" s="44" t="s">
        <v>75</v>
      </c>
    </row>
    <row r="98">
      <c r="A98" s="43">
        <v>46277</v>
      </c>
      <c r="B98" s="44" t="s">
        <v>21</v>
      </c>
      <c r="C98" s="45" t="s">
        <v>32</v>
      </c>
      <c r="D98" s="45" t="s">
        <v>152</v>
      </c>
      <c r="E98" s="45" t="s">
        <v>54</v>
      </c>
      <c r="F98" s="46">
        <v>12000</v>
      </c>
      <c r="G98" s="44" t="s">
        <v>75</v>
      </c>
    </row>
    <row r="99">
      <c r="A99" s="43">
        <v>46277</v>
      </c>
      <c r="B99" s="44" t="s">
        <v>21</v>
      </c>
      <c r="C99" s="45" t="s">
        <v>32</v>
      </c>
      <c r="D99" s="45" t="s">
        <v>112</v>
      </c>
      <c r="E99" s="45" t="s">
        <v>54</v>
      </c>
      <c r="F99" s="46">
        <v>25000</v>
      </c>
      <c r="G99" s="44" t="s">
        <v>75</v>
      </c>
    </row>
    <row r="100">
      <c r="A100" s="43">
        <v>46277</v>
      </c>
      <c r="B100" s="44" t="s">
        <v>21</v>
      </c>
      <c r="C100" s="45" t="s">
        <v>33</v>
      </c>
      <c r="D100" s="45" t="s">
        <v>153</v>
      </c>
      <c r="E100" s="45" t="s">
        <v>54</v>
      </c>
      <c r="F100" s="46">
        <v>30000</v>
      </c>
      <c r="G100" s="44" t="s">
        <v>75</v>
      </c>
    </row>
    <row r="101">
      <c r="A101" s="43">
        <v>46276</v>
      </c>
      <c r="B101" s="44" t="s">
        <v>21</v>
      </c>
      <c r="C101" s="45" t="s">
        <v>33</v>
      </c>
      <c r="D101" s="45" t="s">
        <v>154</v>
      </c>
      <c r="E101" s="45" t="s">
        <v>54</v>
      </c>
      <c r="F101" s="46">
        <v>3000</v>
      </c>
      <c r="G101" s="44" t="s">
        <v>75</v>
      </c>
    </row>
    <row r="102">
      <c r="A102" s="43">
        <v>46276</v>
      </c>
      <c r="B102" s="44" t="s">
        <v>21</v>
      </c>
      <c r="C102" s="45" t="s">
        <v>32</v>
      </c>
      <c r="D102" s="45" t="s">
        <v>155</v>
      </c>
      <c r="E102" s="45" t="s">
        <v>54</v>
      </c>
      <c r="F102" s="46">
        <v>12000</v>
      </c>
      <c r="G102" s="44" t="s">
        <v>75</v>
      </c>
    </row>
    <row r="103">
      <c r="A103" s="43">
        <v>46276</v>
      </c>
      <c r="B103" s="44" t="s">
        <v>21</v>
      </c>
      <c r="C103" s="45" t="s">
        <v>32</v>
      </c>
      <c r="D103" s="45" t="s">
        <v>156</v>
      </c>
      <c r="E103" s="45" t="s">
        <v>54</v>
      </c>
      <c r="F103" s="46">
        <v>25000</v>
      </c>
      <c r="G103" s="44" t="s">
        <v>75</v>
      </c>
    </row>
    <row r="104">
      <c r="A104" s="43">
        <v>46276</v>
      </c>
      <c r="B104" s="44" t="s">
        <v>20</v>
      </c>
      <c r="C104" s="45" t="s">
        <v>57</v>
      </c>
      <c r="D104" s="45" t="s">
        <v>157</v>
      </c>
      <c r="E104" s="45" t="s">
        <v>54</v>
      </c>
      <c r="F104" s="46">
        <v>35000</v>
      </c>
      <c r="G104" s="44" t="s">
        <v>75</v>
      </c>
    </row>
    <row r="105">
      <c r="A105" s="43">
        <v>46275</v>
      </c>
      <c r="B105" s="44" t="s">
        <v>21</v>
      </c>
      <c r="C105" s="45" t="s">
        <v>32</v>
      </c>
      <c r="D105" s="45" t="s">
        <v>158</v>
      </c>
      <c r="E105" s="45" t="s">
        <v>54</v>
      </c>
      <c r="F105" s="46">
        <v>25000</v>
      </c>
      <c r="G105" s="44" t="s">
        <v>75</v>
      </c>
    </row>
    <row r="106">
      <c r="A106" s="43">
        <v>46274</v>
      </c>
      <c r="B106" s="44" t="s">
        <v>21</v>
      </c>
      <c r="C106" s="45" t="s">
        <v>35</v>
      </c>
      <c r="D106" s="45" t="s">
        <v>159</v>
      </c>
      <c r="E106" s="45" t="s">
        <v>54</v>
      </c>
      <c r="F106" s="46">
        <v>50000</v>
      </c>
      <c r="G106" s="44" t="s">
        <v>75</v>
      </c>
    </row>
    <row r="107">
      <c r="A107" s="43">
        <v>46274</v>
      </c>
      <c r="B107" s="44" t="s">
        <v>21</v>
      </c>
      <c r="C107" s="45" t="s">
        <v>33</v>
      </c>
      <c r="D107" s="45" t="s">
        <v>160</v>
      </c>
      <c r="E107" s="45" t="s">
        <v>54</v>
      </c>
      <c r="F107" s="46">
        <v>30000</v>
      </c>
      <c r="G107" s="44" t="s">
        <v>75</v>
      </c>
    </row>
    <row r="108">
      <c r="A108" s="43">
        <v>46274</v>
      </c>
      <c r="B108" s="44" t="s">
        <v>21</v>
      </c>
      <c r="C108" s="45" t="s">
        <v>34</v>
      </c>
      <c r="D108" s="45" t="s">
        <v>161</v>
      </c>
      <c r="E108" s="45" t="s">
        <v>54</v>
      </c>
      <c r="F108" s="46">
        <v>5000</v>
      </c>
      <c r="G108" s="44" t="s">
        <v>75</v>
      </c>
    </row>
    <row r="109">
      <c r="A109" s="43">
        <v>46274</v>
      </c>
      <c r="B109" s="44" t="s">
        <v>21</v>
      </c>
      <c r="C109" s="45" t="s">
        <v>32</v>
      </c>
      <c r="D109" s="45" t="s">
        <v>162</v>
      </c>
      <c r="E109" s="45" t="s">
        <v>54</v>
      </c>
      <c r="F109" s="46">
        <v>50000</v>
      </c>
      <c r="G109" s="44" t="s">
        <v>75</v>
      </c>
    </row>
    <row r="110">
      <c r="A110" s="43">
        <v>46274</v>
      </c>
      <c r="B110" s="44" t="s">
        <v>21</v>
      </c>
      <c r="C110" s="45" t="s">
        <v>33</v>
      </c>
      <c r="D110" s="45" t="s">
        <v>163</v>
      </c>
      <c r="E110" s="45" t="s">
        <v>54</v>
      </c>
      <c r="F110" s="46">
        <v>12000</v>
      </c>
      <c r="G110" s="44" t="s">
        <v>75</v>
      </c>
    </row>
    <row r="111">
      <c r="A111" s="43">
        <v>46274</v>
      </c>
      <c r="B111" s="44" t="s">
        <v>20</v>
      </c>
      <c r="C111" s="45" t="s">
        <v>57</v>
      </c>
      <c r="D111" s="45" t="s">
        <v>164</v>
      </c>
      <c r="E111" s="45" t="s">
        <v>54</v>
      </c>
      <c r="F111" s="46">
        <v>105000</v>
      </c>
      <c r="G111" s="44" t="s">
        <v>75</v>
      </c>
    </row>
    <row r="112">
      <c r="A112" s="43">
        <v>46274</v>
      </c>
      <c r="B112" s="44" t="s">
        <v>20</v>
      </c>
      <c r="C112" s="45" t="s">
        <v>57</v>
      </c>
      <c r="D112" s="45" t="s">
        <v>165</v>
      </c>
      <c r="E112" s="45" t="s">
        <v>54</v>
      </c>
      <c r="F112" s="46">
        <v>54000</v>
      </c>
      <c r="G112" s="44" t="s">
        <v>75</v>
      </c>
    </row>
    <row r="113">
      <c r="A113" s="43">
        <v>46273</v>
      </c>
      <c r="B113" s="44" t="s">
        <v>21</v>
      </c>
      <c r="C113" s="45" t="s">
        <v>32</v>
      </c>
      <c r="D113" s="45" t="s">
        <v>166</v>
      </c>
      <c r="E113" s="45" t="s">
        <v>54</v>
      </c>
      <c r="F113" s="46">
        <v>12000</v>
      </c>
      <c r="G113" s="44" t="s">
        <v>75</v>
      </c>
    </row>
    <row r="114">
      <c r="A114" s="43">
        <v>46273</v>
      </c>
      <c r="B114" s="44" t="s">
        <v>21</v>
      </c>
      <c r="C114" s="45" t="s">
        <v>32</v>
      </c>
      <c r="D114" s="45" t="s">
        <v>167</v>
      </c>
      <c r="E114" s="45" t="s">
        <v>54</v>
      </c>
      <c r="F114" s="46">
        <v>25000</v>
      </c>
      <c r="G114" s="44" t="s">
        <v>75</v>
      </c>
    </row>
    <row r="115">
      <c r="A115" s="43">
        <v>46273</v>
      </c>
      <c r="B115" s="44" t="s">
        <v>21</v>
      </c>
      <c r="C115" s="45" t="s">
        <v>35</v>
      </c>
      <c r="D115" s="45" t="s">
        <v>168</v>
      </c>
      <c r="E115" s="45" t="s">
        <v>54</v>
      </c>
      <c r="F115" s="46">
        <v>77000</v>
      </c>
      <c r="G115" s="44" t="s">
        <v>75</v>
      </c>
    </row>
    <row r="116">
      <c r="A116" s="43">
        <v>46272</v>
      </c>
      <c r="B116" s="44" t="s">
        <v>21</v>
      </c>
      <c r="C116" s="45" t="s">
        <v>33</v>
      </c>
      <c r="D116" s="45" t="s">
        <v>169</v>
      </c>
      <c r="E116" s="45" t="s">
        <v>54</v>
      </c>
      <c r="F116" s="46">
        <v>47000</v>
      </c>
      <c r="G116" s="44" t="s">
        <v>75</v>
      </c>
    </row>
    <row r="117">
      <c r="A117" s="43">
        <v>46272</v>
      </c>
      <c r="B117" s="44" t="s">
        <v>21</v>
      </c>
      <c r="C117" s="45" t="s">
        <v>32</v>
      </c>
      <c r="D117" s="45" t="s">
        <v>83</v>
      </c>
      <c r="E117" s="45" t="s">
        <v>54</v>
      </c>
      <c r="F117" s="46">
        <v>50000</v>
      </c>
      <c r="G117" s="44" t="s">
        <v>75</v>
      </c>
    </row>
    <row r="118">
      <c r="A118" s="43">
        <v>46272</v>
      </c>
      <c r="B118" s="44" t="s">
        <v>21</v>
      </c>
      <c r="C118" s="45" t="s">
        <v>32</v>
      </c>
      <c r="D118" s="45" t="s">
        <v>170</v>
      </c>
      <c r="E118" s="45" t="s">
        <v>54</v>
      </c>
      <c r="F118" s="46">
        <v>13000</v>
      </c>
      <c r="G118" s="44" t="s">
        <v>75</v>
      </c>
    </row>
    <row r="119">
      <c r="A119" s="43">
        <v>46272</v>
      </c>
      <c r="B119" s="44" t="s">
        <v>20</v>
      </c>
      <c r="C119" s="45" t="s">
        <v>57</v>
      </c>
      <c r="D119" s="45" t="s">
        <v>171</v>
      </c>
      <c r="E119" s="45" t="s">
        <v>54</v>
      </c>
      <c r="F119" s="46">
        <v>25000</v>
      </c>
      <c r="G119" s="44" t="s">
        <v>75</v>
      </c>
    </row>
    <row r="120">
      <c r="A120" s="43">
        <v>46272</v>
      </c>
      <c r="B120" s="44" t="s">
        <v>20</v>
      </c>
      <c r="C120" s="45" t="s">
        <v>57</v>
      </c>
      <c r="D120" s="45" t="s">
        <v>172</v>
      </c>
      <c r="E120" s="45" t="s">
        <v>54</v>
      </c>
      <c r="F120" s="46">
        <v>25000</v>
      </c>
      <c r="G120" s="44" t="s">
        <v>75</v>
      </c>
    </row>
    <row r="121">
      <c r="A121" s="43">
        <v>46272</v>
      </c>
      <c r="B121" s="44" t="s">
        <v>20</v>
      </c>
      <c r="C121" s="45" t="s">
        <v>57</v>
      </c>
      <c r="D121" s="45" t="s">
        <v>173</v>
      </c>
      <c r="E121" s="45" t="s">
        <v>54</v>
      </c>
      <c r="F121" s="46">
        <v>100000</v>
      </c>
      <c r="G121" s="44" t="s">
        <v>75</v>
      </c>
    </row>
    <row r="122">
      <c r="A122" s="43">
        <v>46272</v>
      </c>
      <c r="B122" s="44" t="s">
        <v>20</v>
      </c>
      <c r="C122" s="45" t="s">
        <v>57</v>
      </c>
      <c r="D122" s="45" t="s">
        <v>174</v>
      </c>
      <c r="E122" s="45" t="s">
        <v>54</v>
      </c>
      <c r="F122" s="46">
        <v>13000</v>
      </c>
      <c r="G122" s="44" t="s">
        <v>75</v>
      </c>
    </row>
    <row r="123">
      <c r="A123" s="43">
        <v>46272</v>
      </c>
      <c r="B123" s="44" t="s">
        <v>20</v>
      </c>
      <c r="C123" s="45" t="s">
        <v>57</v>
      </c>
      <c r="D123" s="45" t="s">
        <v>175</v>
      </c>
      <c r="E123" s="45" t="s">
        <v>54</v>
      </c>
      <c r="F123" s="46">
        <v>75000</v>
      </c>
      <c r="G123" s="44" t="s">
        <v>75</v>
      </c>
    </row>
    <row r="124">
      <c r="A124" s="43">
        <v>46271</v>
      </c>
      <c r="B124" s="44" t="s">
        <v>21</v>
      </c>
      <c r="C124" s="45" t="s">
        <v>32</v>
      </c>
      <c r="D124" s="45" t="s">
        <v>176</v>
      </c>
      <c r="E124" s="45" t="s">
        <v>54</v>
      </c>
      <c r="F124" s="46">
        <v>26000</v>
      </c>
      <c r="G124" s="44" t="s">
        <v>75</v>
      </c>
    </row>
    <row r="125">
      <c r="A125" s="43">
        <v>46270</v>
      </c>
      <c r="B125" s="44" t="s">
        <v>21</v>
      </c>
      <c r="C125" s="45" t="s">
        <v>32</v>
      </c>
      <c r="D125" s="45" t="s">
        <v>177</v>
      </c>
      <c r="E125" s="45" t="s">
        <v>54</v>
      </c>
      <c r="F125" s="46">
        <v>50000</v>
      </c>
      <c r="G125" s="44" t="s">
        <v>75</v>
      </c>
    </row>
    <row r="126">
      <c r="A126" s="43">
        <v>46270</v>
      </c>
      <c r="B126" s="44" t="s">
        <v>21</v>
      </c>
      <c r="C126" s="45" t="s">
        <v>32</v>
      </c>
      <c r="D126" s="45" t="s">
        <v>178</v>
      </c>
      <c r="E126" s="45" t="s">
        <v>54</v>
      </c>
      <c r="F126" s="46">
        <v>3000</v>
      </c>
      <c r="G126" s="44" t="s">
        <v>75</v>
      </c>
    </row>
    <row r="127">
      <c r="A127" s="43">
        <v>46270</v>
      </c>
      <c r="B127" s="44" t="s">
        <v>21</v>
      </c>
      <c r="C127" s="45" t="s">
        <v>35</v>
      </c>
      <c r="D127" s="45" t="s">
        <v>179</v>
      </c>
      <c r="E127" s="45" t="s">
        <v>54</v>
      </c>
      <c r="F127" s="46">
        <v>300000</v>
      </c>
      <c r="G127" s="44" t="s">
        <v>75</v>
      </c>
    </row>
    <row r="128">
      <c r="A128" s="43">
        <v>46270</v>
      </c>
      <c r="B128" s="44" t="s">
        <v>21</v>
      </c>
      <c r="C128" s="45" t="s">
        <v>32</v>
      </c>
      <c r="D128" s="45" t="s">
        <v>180</v>
      </c>
      <c r="E128" s="45" t="s">
        <v>54</v>
      </c>
      <c r="F128" s="46">
        <v>50000</v>
      </c>
      <c r="G128" s="44" t="s">
        <v>75</v>
      </c>
    </row>
    <row r="129">
      <c r="A129" s="43">
        <v>46270</v>
      </c>
      <c r="B129" s="44" t="s">
        <v>21</v>
      </c>
      <c r="C129" s="45" t="s">
        <v>32</v>
      </c>
      <c r="D129" s="45" t="s">
        <v>181</v>
      </c>
      <c r="E129" s="45" t="s">
        <v>54</v>
      </c>
      <c r="F129" s="46">
        <v>125000</v>
      </c>
      <c r="G129" s="44" t="s">
        <v>75</v>
      </c>
    </row>
    <row r="130">
      <c r="A130" s="43">
        <v>46269</v>
      </c>
      <c r="B130" s="44" t="s">
        <v>21</v>
      </c>
      <c r="C130" s="45" t="s">
        <v>32</v>
      </c>
      <c r="D130" s="45" t="s">
        <v>182</v>
      </c>
      <c r="E130" s="45" t="s">
        <v>54</v>
      </c>
      <c r="F130" s="46">
        <v>40000</v>
      </c>
      <c r="G130" s="44" t="s">
        <v>75</v>
      </c>
    </row>
    <row r="131">
      <c r="A131" s="43">
        <v>46269</v>
      </c>
      <c r="B131" s="44" t="s">
        <v>21</v>
      </c>
      <c r="C131" s="45" t="s">
        <v>32</v>
      </c>
      <c r="D131" s="45" t="s">
        <v>183</v>
      </c>
      <c r="E131" s="45" t="s">
        <v>54</v>
      </c>
      <c r="F131" s="46">
        <v>25000</v>
      </c>
      <c r="G131" s="44" t="s">
        <v>75</v>
      </c>
    </row>
    <row r="132">
      <c r="A132" s="43">
        <v>46269</v>
      </c>
      <c r="B132" s="44" t="s">
        <v>21</v>
      </c>
      <c r="C132" s="45" t="s">
        <v>32</v>
      </c>
      <c r="D132" s="45" t="s">
        <v>184</v>
      </c>
      <c r="E132" s="45" t="s">
        <v>54</v>
      </c>
      <c r="F132" s="46">
        <v>20000</v>
      </c>
      <c r="G132" s="44" t="s">
        <v>75</v>
      </c>
    </row>
    <row r="133">
      <c r="A133" s="43">
        <v>46269</v>
      </c>
      <c r="B133" s="44" t="s">
        <v>21</v>
      </c>
      <c r="C133" s="45" t="s">
        <v>32</v>
      </c>
      <c r="D133" s="45" t="s">
        <v>185</v>
      </c>
      <c r="E133" s="45" t="s">
        <v>54</v>
      </c>
      <c r="F133" s="46">
        <v>50000</v>
      </c>
      <c r="G133" s="44" t="s">
        <v>75</v>
      </c>
    </row>
    <row r="134">
      <c r="A134" s="43">
        <v>46269</v>
      </c>
      <c r="B134" s="44" t="s">
        <v>20</v>
      </c>
      <c r="C134" s="45" t="s">
        <v>57</v>
      </c>
      <c r="D134" s="45" t="s">
        <v>186</v>
      </c>
      <c r="E134" s="45" t="s">
        <v>54</v>
      </c>
      <c r="F134" s="46">
        <v>500000</v>
      </c>
      <c r="G134" s="44" t="s">
        <v>75</v>
      </c>
    </row>
    <row r="135">
      <c r="A135" s="43">
        <v>46268</v>
      </c>
      <c r="B135" s="44" t="s">
        <v>21</v>
      </c>
      <c r="C135" s="45" t="s">
        <v>32</v>
      </c>
      <c r="D135" s="45" t="s">
        <v>187</v>
      </c>
      <c r="E135" s="45" t="s">
        <v>54</v>
      </c>
      <c r="F135" s="46">
        <v>50000</v>
      </c>
      <c r="G135" s="44" t="s">
        <v>75</v>
      </c>
    </row>
    <row r="136">
      <c r="A136" s="43">
        <v>46268</v>
      </c>
      <c r="B136" s="44" t="s">
        <v>20</v>
      </c>
      <c r="C136" s="45" t="s">
        <v>57</v>
      </c>
      <c r="D136" s="45" t="s">
        <v>188</v>
      </c>
      <c r="E136" s="45" t="s">
        <v>54</v>
      </c>
      <c r="F136" s="46">
        <v>40000</v>
      </c>
      <c r="G136" s="44" t="s">
        <v>75</v>
      </c>
    </row>
    <row r="137">
      <c r="A137" s="43">
        <v>46268</v>
      </c>
      <c r="B137" s="44" t="s">
        <v>20</v>
      </c>
      <c r="C137" s="45" t="s">
        <v>57</v>
      </c>
      <c r="D137" s="45" t="s">
        <v>189</v>
      </c>
      <c r="E137" s="45" t="s">
        <v>54</v>
      </c>
      <c r="F137" s="46">
        <v>28000</v>
      </c>
      <c r="G137" s="44" t="s">
        <v>75</v>
      </c>
    </row>
    <row r="138">
      <c r="A138" s="43">
        <v>46268</v>
      </c>
      <c r="B138" s="44" t="s">
        <v>20</v>
      </c>
      <c r="C138" s="45" t="s">
        <v>57</v>
      </c>
      <c r="D138" s="45" t="s">
        <v>190</v>
      </c>
      <c r="E138" s="45" t="s">
        <v>54</v>
      </c>
      <c r="F138" s="46">
        <v>35000</v>
      </c>
      <c r="G138" s="44" t="s">
        <v>75</v>
      </c>
    </row>
    <row r="139">
      <c r="A139" s="43">
        <v>46268</v>
      </c>
      <c r="B139" s="44" t="s">
        <v>20</v>
      </c>
      <c r="C139" s="45" t="s">
        <v>57</v>
      </c>
      <c r="D139" s="45" t="s">
        <v>191</v>
      </c>
      <c r="E139" s="45" t="s">
        <v>54</v>
      </c>
      <c r="F139" s="46">
        <v>25000</v>
      </c>
      <c r="G139" s="44" t="s">
        <v>75</v>
      </c>
    </row>
    <row r="140">
      <c r="A140" s="43">
        <v>46268</v>
      </c>
      <c r="B140" s="44" t="s">
        <v>20</v>
      </c>
      <c r="C140" s="45" t="s">
        <v>57</v>
      </c>
      <c r="D140" s="45" t="s">
        <v>192</v>
      </c>
      <c r="E140" s="45" t="s">
        <v>54</v>
      </c>
      <c r="F140" s="46">
        <v>2000</v>
      </c>
      <c r="G140" s="44" t="s">
        <v>75</v>
      </c>
    </row>
    <row r="141">
      <c r="A141" s="43">
        <v>46267</v>
      </c>
      <c r="B141" s="44" t="s">
        <v>21</v>
      </c>
      <c r="C141" s="45" t="s">
        <v>33</v>
      </c>
      <c r="D141" s="45" t="s">
        <v>193</v>
      </c>
      <c r="E141" s="45" t="s">
        <v>54</v>
      </c>
      <c r="F141" s="46">
        <v>90000</v>
      </c>
      <c r="G141" s="44" t="s">
        <v>75</v>
      </c>
    </row>
    <row r="142">
      <c r="A142" s="43">
        <v>46267</v>
      </c>
      <c r="B142" s="44" t="s">
        <v>21</v>
      </c>
      <c r="C142" s="45" t="s">
        <v>32</v>
      </c>
      <c r="D142" s="45" t="s">
        <v>194</v>
      </c>
      <c r="E142" s="45" t="s">
        <v>54</v>
      </c>
      <c r="F142" s="46">
        <v>56000</v>
      </c>
      <c r="G142" s="44" t="s">
        <v>75</v>
      </c>
    </row>
    <row r="143">
      <c r="A143" s="43">
        <v>46267</v>
      </c>
      <c r="B143" s="44" t="s">
        <v>21</v>
      </c>
      <c r="C143" s="45" t="s">
        <v>33</v>
      </c>
      <c r="D143" s="45" t="s">
        <v>169</v>
      </c>
      <c r="E143" s="45" t="s">
        <v>54</v>
      </c>
      <c r="F143" s="46">
        <v>70000</v>
      </c>
      <c r="G143" s="44" t="s">
        <v>75</v>
      </c>
    </row>
    <row r="144">
      <c r="A144" s="43">
        <v>46267</v>
      </c>
      <c r="B144" s="44" t="s">
        <v>21</v>
      </c>
      <c r="C144" s="45" t="s">
        <v>32</v>
      </c>
      <c r="D144" s="45" t="s">
        <v>195</v>
      </c>
      <c r="E144" s="45" t="s">
        <v>54</v>
      </c>
      <c r="F144" s="46">
        <v>80000</v>
      </c>
      <c r="G144" s="44" t="s">
        <v>75</v>
      </c>
    </row>
    <row r="145">
      <c r="A145" s="43">
        <v>46267</v>
      </c>
      <c r="B145" s="44" t="s">
        <v>20</v>
      </c>
      <c r="C145" s="45" t="s">
        <v>57</v>
      </c>
      <c r="D145" s="45" t="s">
        <v>196</v>
      </c>
      <c r="E145" s="45" t="s">
        <v>54</v>
      </c>
      <c r="F145" s="46">
        <v>205000</v>
      </c>
      <c r="G145" s="44" t="s">
        <v>75</v>
      </c>
    </row>
    <row r="146">
      <c r="A146" s="43">
        <v>46267</v>
      </c>
      <c r="B146" s="44" t="s">
        <v>20</v>
      </c>
      <c r="C146" s="45" t="s">
        <v>57</v>
      </c>
      <c r="D146" s="45" t="s">
        <v>197</v>
      </c>
      <c r="E146" s="45" t="s">
        <v>54</v>
      </c>
      <c r="F146" s="46">
        <v>3000000</v>
      </c>
      <c r="G146" s="44" t="s">
        <v>75</v>
      </c>
    </row>
    <row r="147">
      <c r="A147" s="43">
        <v>46261</v>
      </c>
      <c r="B147" s="44" t="s">
        <v>21</v>
      </c>
      <c r="C147" s="45" t="s">
        <v>32</v>
      </c>
      <c r="D147" s="45" t="s">
        <v>198</v>
      </c>
      <c r="E147" s="45" t="s">
        <v>54</v>
      </c>
      <c r="F147" s="46">
        <v>35000</v>
      </c>
      <c r="G147" s="44" t="s">
        <v>75</v>
      </c>
    </row>
    <row r="148">
      <c r="A148" s="43">
        <v>46260</v>
      </c>
      <c r="B148" s="44" t="s">
        <v>21</v>
      </c>
      <c r="C148" s="45" t="s">
        <v>32</v>
      </c>
      <c r="D148" s="45" t="s">
        <v>121</v>
      </c>
      <c r="E148" s="45" t="s">
        <v>54</v>
      </c>
      <c r="F148" s="46">
        <v>20000</v>
      </c>
      <c r="G148" s="44" t="s">
        <v>75</v>
      </c>
    </row>
    <row r="149">
      <c r="A149" s="43">
        <v>46260</v>
      </c>
      <c r="B149" s="44" t="s">
        <v>21</v>
      </c>
      <c r="C149" s="45" t="s">
        <v>32</v>
      </c>
      <c r="D149" s="45" t="s">
        <v>125</v>
      </c>
      <c r="E149" s="45" t="s">
        <v>54</v>
      </c>
      <c r="F149" s="46">
        <v>25000</v>
      </c>
      <c r="G149" s="44" t="s">
        <v>75</v>
      </c>
    </row>
    <row r="150">
      <c r="A150" s="43">
        <v>46260</v>
      </c>
      <c r="B150" s="44" t="s">
        <v>20</v>
      </c>
      <c r="C150" s="45" t="s">
        <v>57</v>
      </c>
      <c r="D150" s="45" t="s">
        <v>81</v>
      </c>
      <c r="E150" s="45" t="s">
        <v>54</v>
      </c>
      <c r="F150" s="46">
        <v>52000</v>
      </c>
      <c r="G150" s="44" t="s">
        <v>75</v>
      </c>
    </row>
    <row r="151">
      <c r="A151" s="43">
        <v>46259</v>
      </c>
      <c r="B151" s="44" t="s">
        <v>21</v>
      </c>
      <c r="C151" s="45" t="s">
        <v>32</v>
      </c>
      <c r="D151" s="45" t="s">
        <v>103</v>
      </c>
      <c r="E151" s="45" t="s">
        <v>54</v>
      </c>
      <c r="F151" s="46">
        <v>25000</v>
      </c>
      <c r="G151" s="44" t="s">
        <v>75</v>
      </c>
    </row>
    <row r="152">
      <c r="A152" s="43">
        <v>46258</v>
      </c>
      <c r="B152" s="44" t="s">
        <v>21</v>
      </c>
      <c r="C152" s="45" t="s">
        <v>34</v>
      </c>
      <c r="D152" s="45" t="s">
        <v>199</v>
      </c>
      <c r="E152" s="45" t="s">
        <v>54</v>
      </c>
      <c r="F152" s="46">
        <v>300000</v>
      </c>
      <c r="G152" s="44" t="s">
        <v>75</v>
      </c>
    </row>
    <row r="153">
      <c r="A153" s="43">
        <v>46258</v>
      </c>
      <c r="B153" s="44" t="s">
        <v>21</v>
      </c>
      <c r="C153" s="45" t="s">
        <v>32</v>
      </c>
      <c r="D153" s="45" t="s">
        <v>125</v>
      </c>
      <c r="E153" s="45" t="s">
        <v>54</v>
      </c>
      <c r="F153" s="46">
        <v>30000</v>
      </c>
      <c r="G153" s="44" t="s">
        <v>75</v>
      </c>
    </row>
    <row r="154">
      <c r="A154" s="43">
        <v>46258</v>
      </c>
      <c r="B154" s="44" t="s">
        <v>20</v>
      </c>
      <c r="C154" s="45" t="s">
        <v>57</v>
      </c>
      <c r="D154" s="45" t="s">
        <v>81</v>
      </c>
      <c r="E154" s="45" t="s">
        <v>54</v>
      </c>
      <c r="F154" s="46">
        <v>11000</v>
      </c>
      <c r="G154" s="44" t="s">
        <v>75</v>
      </c>
    </row>
    <row r="155">
      <c r="A155" s="43">
        <v>46256</v>
      </c>
      <c r="B155" s="44" t="s">
        <v>20</v>
      </c>
      <c r="C155" s="45" t="s">
        <v>57</v>
      </c>
      <c r="D155" s="45" t="s">
        <v>101</v>
      </c>
      <c r="E155" s="45" t="s">
        <v>54</v>
      </c>
      <c r="F155" s="46">
        <v>20000</v>
      </c>
      <c r="G155" s="44" t="s">
        <v>75</v>
      </c>
    </row>
    <row r="156">
      <c r="A156" s="43">
        <v>46256</v>
      </c>
      <c r="B156" s="44" t="s">
        <v>20</v>
      </c>
      <c r="C156" s="45" t="s">
        <v>57</v>
      </c>
      <c r="D156" s="45" t="s">
        <v>81</v>
      </c>
      <c r="E156" s="45" t="s">
        <v>54</v>
      </c>
      <c r="F156" s="46">
        <v>20000</v>
      </c>
      <c r="G156" s="44" t="s">
        <v>75</v>
      </c>
    </row>
    <row r="157">
      <c r="A157" s="43">
        <v>46256</v>
      </c>
      <c r="B157" s="44" t="s">
        <v>20</v>
      </c>
      <c r="C157" s="45" t="s">
        <v>57</v>
      </c>
      <c r="D157" s="45" t="s">
        <v>81</v>
      </c>
      <c r="E157" s="45" t="s">
        <v>54</v>
      </c>
      <c r="F157" s="46">
        <v>40000</v>
      </c>
      <c r="G157" s="44" t="s">
        <v>75</v>
      </c>
    </row>
    <row r="158">
      <c r="A158" s="43">
        <v>46256</v>
      </c>
      <c r="B158" s="44" t="s">
        <v>20</v>
      </c>
      <c r="C158" s="45" t="s">
        <v>57</v>
      </c>
      <c r="D158" s="45" t="s">
        <v>81</v>
      </c>
      <c r="E158" s="45" t="s">
        <v>54</v>
      </c>
      <c r="F158" s="46">
        <v>30000</v>
      </c>
      <c r="G158" s="44" t="s">
        <v>75</v>
      </c>
    </row>
    <row r="159">
      <c r="A159" s="43">
        <v>46255</v>
      </c>
      <c r="B159" s="44" t="s">
        <v>21</v>
      </c>
      <c r="C159" s="45" t="s">
        <v>36</v>
      </c>
      <c r="D159" s="45" t="s">
        <v>200</v>
      </c>
      <c r="E159" s="45" t="s">
        <v>54</v>
      </c>
      <c r="F159" s="46">
        <v>10000</v>
      </c>
      <c r="G159" s="44" t="s">
        <v>75</v>
      </c>
    </row>
    <row r="160">
      <c r="A160" s="43">
        <v>46255</v>
      </c>
      <c r="B160" s="44" t="s">
        <v>21</v>
      </c>
      <c r="C160" s="45" t="s">
        <v>32</v>
      </c>
      <c r="D160" s="45" t="s">
        <v>201</v>
      </c>
      <c r="E160" s="45" t="s">
        <v>54</v>
      </c>
      <c r="F160" s="46">
        <v>20000</v>
      </c>
      <c r="G160" s="44" t="s">
        <v>75</v>
      </c>
    </row>
    <row r="161">
      <c r="A161" s="43">
        <v>46255</v>
      </c>
      <c r="B161" s="44" t="s">
        <v>21</v>
      </c>
      <c r="C161" s="45" t="s">
        <v>36</v>
      </c>
      <c r="D161" s="45" t="s">
        <v>200</v>
      </c>
      <c r="E161" s="45" t="s">
        <v>54</v>
      </c>
      <c r="F161" s="46">
        <v>41000</v>
      </c>
      <c r="G161" s="44" t="s">
        <v>75</v>
      </c>
    </row>
    <row r="162">
      <c r="A162" s="43">
        <v>46255</v>
      </c>
      <c r="B162" s="44" t="s">
        <v>20</v>
      </c>
      <c r="C162" s="45" t="s">
        <v>57</v>
      </c>
      <c r="D162" s="45" t="s">
        <v>202</v>
      </c>
      <c r="E162" s="45" t="s">
        <v>54</v>
      </c>
      <c r="F162" s="46">
        <v>40000</v>
      </c>
      <c r="G162" s="44" t="s">
        <v>75</v>
      </c>
    </row>
    <row r="163">
      <c r="A163" s="43">
        <v>46255</v>
      </c>
      <c r="B163" s="44" t="s">
        <v>20</v>
      </c>
      <c r="C163" s="45" t="s">
        <v>47</v>
      </c>
      <c r="D163" s="45" t="s">
        <v>81</v>
      </c>
      <c r="E163" s="45" t="s">
        <v>54</v>
      </c>
      <c r="F163" s="46">
        <v>45000</v>
      </c>
      <c r="G163" s="44" t="s">
        <v>75</v>
      </c>
    </row>
    <row r="164">
      <c r="A164" s="43">
        <v>46255</v>
      </c>
      <c r="B164" s="44" t="s">
        <v>20</v>
      </c>
      <c r="C164" s="45" t="s">
        <v>57</v>
      </c>
      <c r="D164" s="45" t="s">
        <v>203</v>
      </c>
      <c r="E164" s="45" t="s">
        <v>54</v>
      </c>
      <c r="F164" s="46">
        <v>25000</v>
      </c>
      <c r="G164" s="44" t="s">
        <v>75</v>
      </c>
    </row>
    <row r="165">
      <c r="A165" s="43">
        <v>46254</v>
      </c>
      <c r="B165" s="44" t="s">
        <v>21</v>
      </c>
      <c r="C165" s="45" t="s">
        <v>32</v>
      </c>
      <c r="D165" s="45" t="s">
        <v>201</v>
      </c>
      <c r="E165" s="45" t="s">
        <v>54</v>
      </c>
      <c r="F165" s="46">
        <v>20000</v>
      </c>
      <c r="G165" s="44" t="s">
        <v>75</v>
      </c>
    </row>
    <row r="166">
      <c r="A166" s="43">
        <v>46254</v>
      </c>
      <c r="B166" s="44" t="s">
        <v>21</v>
      </c>
      <c r="C166" s="45" t="s">
        <v>32</v>
      </c>
      <c r="D166" s="45" t="s">
        <v>125</v>
      </c>
      <c r="E166" s="45" t="s">
        <v>54</v>
      </c>
      <c r="F166" s="46">
        <v>25000</v>
      </c>
      <c r="G166" s="44" t="s">
        <v>75</v>
      </c>
    </row>
    <row r="167">
      <c r="A167" s="43">
        <v>46253</v>
      </c>
      <c r="B167" s="44" t="s">
        <v>21</v>
      </c>
      <c r="C167" s="45" t="s">
        <v>32</v>
      </c>
      <c r="D167" s="45" t="s">
        <v>201</v>
      </c>
      <c r="E167" s="45" t="s">
        <v>54</v>
      </c>
      <c r="F167" s="46">
        <v>20000</v>
      </c>
      <c r="G167" s="44" t="s">
        <v>75</v>
      </c>
    </row>
    <row r="168">
      <c r="A168" s="43">
        <v>46253</v>
      </c>
      <c r="B168" s="44" t="s">
        <v>20</v>
      </c>
      <c r="C168" s="45" t="s">
        <v>57</v>
      </c>
      <c r="D168" s="45" t="s">
        <v>204</v>
      </c>
      <c r="E168" s="45" t="s">
        <v>54</v>
      </c>
      <c r="F168" s="46">
        <v>30000</v>
      </c>
      <c r="G168" s="44" t="s">
        <v>75</v>
      </c>
    </row>
    <row r="169">
      <c r="A169" s="43">
        <v>46253</v>
      </c>
      <c r="B169" s="44" t="s">
        <v>20</v>
      </c>
      <c r="C169" s="45" t="s">
        <v>57</v>
      </c>
      <c r="D169" s="45" t="s">
        <v>204</v>
      </c>
      <c r="E169" s="45" t="s">
        <v>54</v>
      </c>
      <c r="F169" s="46">
        <v>80000</v>
      </c>
      <c r="G169" s="44" t="s">
        <v>75</v>
      </c>
    </row>
    <row r="170">
      <c r="A170" s="43">
        <v>46252</v>
      </c>
      <c r="B170" s="44" t="s">
        <v>21</v>
      </c>
      <c r="C170" s="45" t="s">
        <v>32</v>
      </c>
      <c r="D170" s="45" t="s">
        <v>205</v>
      </c>
      <c r="E170" s="45" t="s">
        <v>54</v>
      </c>
      <c r="F170" s="46">
        <v>20000</v>
      </c>
      <c r="G170" s="44" t="s">
        <v>75</v>
      </c>
    </row>
    <row r="171">
      <c r="A171" s="43">
        <v>46252</v>
      </c>
      <c r="B171" s="44" t="s">
        <v>21</v>
      </c>
      <c r="C171" s="45" t="s">
        <v>32</v>
      </c>
      <c r="D171" s="45" t="s">
        <v>206</v>
      </c>
      <c r="E171" s="45" t="s">
        <v>54</v>
      </c>
      <c r="F171" s="46">
        <v>34000</v>
      </c>
      <c r="G171" s="44" t="s">
        <v>75</v>
      </c>
    </row>
    <row r="172">
      <c r="A172" s="43">
        <v>46251</v>
      </c>
      <c r="B172" s="44" t="s">
        <v>21</v>
      </c>
      <c r="C172" s="45" t="s">
        <v>32</v>
      </c>
      <c r="D172" s="45" t="s">
        <v>205</v>
      </c>
      <c r="E172" s="45" t="s">
        <v>54</v>
      </c>
      <c r="F172" s="46">
        <v>20000</v>
      </c>
      <c r="G172" s="44" t="s">
        <v>75</v>
      </c>
    </row>
    <row r="173">
      <c r="A173" s="43">
        <v>46251</v>
      </c>
      <c r="B173" s="44" t="s">
        <v>20</v>
      </c>
      <c r="C173" s="45" t="s">
        <v>57</v>
      </c>
      <c r="D173" s="45" t="s">
        <v>207</v>
      </c>
      <c r="E173" s="45" t="s">
        <v>54</v>
      </c>
      <c r="F173" s="46">
        <v>50000</v>
      </c>
      <c r="G173" s="44" t="s">
        <v>75</v>
      </c>
    </row>
    <row r="174">
      <c r="A174" s="43">
        <v>46250</v>
      </c>
      <c r="B174" s="44" t="s">
        <v>21</v>
      </c>
      <c r="C174" s="45" t="s">
        <v>33</v>
      </c>
      <c r="D174" s="45" t="s">
        <v>208</v>
      </c>
      <c r="E174" s="45" t="s">
        <v>54</v>
      </c>
      <c r="F174" s="46">
        <v>10000</v>
      </c>
      <c r="G174" s="44" t="s">
        <v>75</v>
      </c>
    </row>
    <row r="175">
      <c r="A175" s="43">
        <v>46250</v>
      </c>
      <c r="B175" s="44" t="s">
        <v>21</v>
      </c>
      <c r="C175" s="45" t="s">
        <v>32</v>
      </c>
      <c r="D175" s="45" t="s">
        <v>209</v>
      </c>
      <c r="E175" s="45" t="s">
        <v>54</v>
      </c>
      <c r="F175" s="46">
        <v>25000</v>
      </c>
      <c r="G175" s="44" t="s">
        <v>75</v>
      </c>
    </row>
    <row r="176">
      <c r="A176" s="43">
        <v>46250</v>
      </c>
      <c r="B176" s="44" t="s">
        <v>21</v>
      </c>
      <c r="C176" s="45" t="s">
        <v>32</v>
      </c>
      <c r="D176" s="45" t="s">
        <v>210</v>
      </c>
      <c r="E176" s="45" t="s">
        <v>54</v>
      </c>
      <c r="F176" s="46">
        <v>25000</v>
      </c>
      <c r="G176" s="44" t="s">
        <v>75</v>
      </c>
    </row>
    <row r="177">
      <c r="A177" s="43">
        <v>46250</v>
      </c>
      <c r="B177" s="44" t="s">
        <v>21</v>
      </c>
      <c r="C177" s="45" t="s">
        <v>32</v>
      </c>
      <c r="D177" s="45" t="s">
        <v>211</v>
      </c>
      <c r="E177" s="45" t="s">
        <v>54</v>
      </c>
      <c r="F177" s="46">
        <v>12000</v>
      </c>
      <c r="G177" s="44" t="s">
        <v>75</v>
      </c>
    </row>
    <row r="178">
      <c r="A178" s="43">
        <v>46250</v>
      </c>
      <c r="B178" s="44" t="s">
        <v>21</v>
      </c>
      <c r="C178" s="45" t="s">
        <v>33</v>
      </c>
      <c r="D178" s="45" t="s">
        <v>169</v>
      </c>
      <c r="E178" s="45" t="s">
        <v>54</v>
      </c>
      <c r="F178" s="46">
        <v>25000</v>
      </c>
      <c r="G178" s="44" t="s">
        <v>75</v>
      </c>
    </row>
    <row r="179">
      <c r="A179" s="43">
        <v>46250</v>
      </c>
      <c r="B179" s="44" t="s">
        <v>20</v>
      </c>
      <c r="C179" s="45" t="s">
        <v>57</v>
      </c>
      <c r="D179" s="45" t="s">
        <v>212</v>
      </c>
      <c r="E179" s="45" t="s">
        <v>54</v>
      </c>
      <c r="F179" s="46">
        <v>50000</v>
      </c>
      <c r="G179" s="44" t="s">
        <v>75</v>
      </c>
    </row>
    <row r="180">
      <c r="A180" s="43">
        <v>46249</v>
      </c>
      <c r="B180" s="44" t="s">
        <v>21</v>
      </c>
      <c r="C180" s="45" t="s">
        <v>32</v>
      </c>
      <c r="D180" s="45" t="s">
        <v>205</v>
      </c>
      <c r="E180" s="45" t="s">
        <v>54</v>
      </c>
      <c r="F180" s="46">
        <v>20000</v>
      </c>
      <c r="G180" s="44" t="s">
        <v>75</v>
      </c>
    </row>
    <row r="181">
      <c r="A181" s="43">
        <v>46249</v>
      </c>
      <c r="B181" s="44" t="s">
        <v>21</v>
      </c>
      <c r="C181" s="45" t="s">
        <v>32</v>
      </c>
      <c r="D181" s="45" t="s">
        <v>213</v>
      </c>
      <c r="E181" s="45" t="s">
        <v>54</v>
      </c>
      <c r="F181" s="46">
        <v>30000</v>
      </c>
      <c r="G181" s="44" t="s">
        <v>75</v>
      </c>
    </row>
    <row r="182">
      <c r="A182" s="43">
        <v>46249</v>
      </c>
      <c r="B182" s="44" t="s">
        <v>21</v>
      </c>
      <c r="C182" s="45" t="s">
        <v>34</v>
      </c>
      <c r="D182" s="45" t="s">
        <v>214</v>
      </c>
      <c r="E182" s="45" t="s">
        <v>54</v>
      </c>
      <c r="F182" s="46">
        <v>15000</v>
      </c>
      <c r="G182" s="44" t="s">
        <v>75</v>
      </c>
    </row>
    <row r="183">
      <c r="A183" s="43">
        <v>46249</v>
      </c>
      <c r="B183" s="44" t="s">
        <v>21</v>
      </c>
      <c r="C183" s="45" t="s">
        <v>35</v>
      </c>
      <c r="D183" s="45" t="s">
        <v>215</v>
      </c>
      <c r="E183" s="45" t="s">
        <v>54</v>
      </c>
      <c r="F183" s="46">
        <v>7000</v>
      </c>
      <c r="G183" s="44" t="s">
        <v>75</v>
      </c>
    </row>
    <row r="184">
      <c r="A184" s="43">
        <v>46249</v>
      </c>
      <c r="B184" s="44" t="s">
        <v>20</v>
      </c>
      <c r="C184" s="45" t="s">
        <v>57</v>
      </c>
      <c r="D184" s="45" t="s">
        <v>216</v>
      </c>
      <c r="E184" s="45" t="s">
        <v>54</v>
      </c>
      <c r="F184" s="46">
        <v>7000</v>
      </c>
      <c r="G184" s="44" t="s">
        <v>75</v>
      </c>
    </row>
    <row r="185">
      <c r="A185" s="43">
        <v>46249</v>
      </c>
      <c r="B185" s="44" t="s">
        <v>20</v>
      </c>
      <c r="C185" s="45" t="s">
        <v>57</v>
      </c>
      <c r="D185" s="45" t="s">
        <v>217</v>
      </c>
      <c r="E185" s="45" t="s">
        <v>54</v>
      </c>
      <c r="F185" s="46">
        <v>50000</v>
      </c>
      <c r="G185" s="44" t="s">
        <v>75</v>
      </c>
    </row>
    <row r="186">
      <c r="A186" s="43">
        <v>46249</v>
      </c>
      <c r="B186" s="44" t="s">
        <v>20</v>
      </c>
      <c r="C186" s="45" t="s">
        <v>57</v>
      </c>
      <c r="D186" s="45" t="s">
        <v>218</v>
      </c>
      <c r="E186" s="45" t="s">
        <v>54</v>
      </c>
      <c r="F186" s="46">
        <v>175000</v>
      </c>
      <c r="G186" s="44" t="s">
        <v>75</v>
      </c>
    </row>
    <row r="187">
      <c r="A187" s="43">
        <v>46249</v>
      </c>
      <c r="B187" s="44" t="s">
        <v>20</v>
      </c>
      <c r="C187" s="45" t="s">
        <v>57</v>
      </c>
      <c r="D187" s="45" t="s">
        <v>204</v>
      </c>
      <c r="E187" s="45" t="s">
        <v>54</v>
      </c>
      <c r="F187" s="46">
        <v>135000</v>
      </c>
      <c r="G187" s="44" t="s">
        <v>75</v>
      </c>
    </row>
    <row r="188">
      <c r="A188" s="43">
        <v>46249</v>
      </c>
      <c r="B188" s="44" t="s">
        <v>20</v>
      </c>
      <c r="C188" s="45" t="s">
        <v>57</v>
      </c>
      <c r="D188" s="45" t="s">
        <v>219</v>
      </c>
      <c r="E188" s="45" t="s">
        <v>54</v>
      </c>
      <c r="F188" s="46">
        <v>500000</v>
      </c>
      <c r="G188" s="44" t="s">
        <v>75</v>
      </c>
    </row>
    <row r="189">
      <c r="A189" s="43">
        <v>46249</v>
      </c>
      <c r="B189" s="44" t="s">
        <v>20</v>
      </c>
      <c r="C189" s="45" t="s">
        <v>57</v>
      </c>
      <c r="D189" s="45" t="s">
        <v>220</v>
      </c>
      <c r="E189" s="45" t="s">
        <v>54</v>
      </c>
      <c r="F189" s="46">
        <v>40000</v>
      </c>
      <c r="G189" s="44" t="s">
        <v>75</v>
      </c>
    </row>
    <row r="190">
      <c r="A190" s="43">
        <v>46248</v>
      </c>
      <c r="B190" s="44" t="s">
        <v>21</v>
      </c>
      <c r="C190" s="45" t="s">
        <v>35</v>
      </c>
      <c r="D190" s="45" t="s">
        <v>221</v>
      </c>
      <c r="E190" s="45" t="s">
        <v>54</v>
      </c>
      <c r="F190" s="46">
        <v>2000</v>
      </c>
      <c r="G190" s="44" t="s">
        <v>75</v>
      </c>
    </row>
    <row r="191">
      <c r="A191" s="43">
        <v>46248</v>
      </c>
      <c r="B191" s="44" t="s">
        <v>21</v>
      </c>
      <c r="C191" s="45" t="s">
        <v>32</v>
      </c>
      <c r="D191" s="45" t="s">
        <v>222</v>
      </c>
      <c r="E191" s="45" t="s">
        <v>54</v>
      </c>
      <c r="F191" s="46">
        <v>25000</v>
      </c>
      <c r="G191" s="44" t="s">
        <v>75</v>
      </c>
    </row>
    <row r="192">
      <c r="A192" s="43">
        <v>46248</v>
      </c>
      <c r="B192" s="44" t="s">
        <v>21</v>
      </c>
      <c r="C192" s="45" t="s">
        <v>33</v>
      </c>
      <c r="D192" s="45" t="s">
        <v>223</v>
      </c>
      <c r="E192" s="45" t="s">
        <v>54</v>
      </c>
      <c r="F192" s="46">
        <v>30000</v>
      </c>
      <c r="G192" s="44" t="s">
        <v>75</v>
      </c>
    </row>
    <row r="193">
      <c r="A193" s="43">
        <v>46248</v>
      </c>
      <c r="B193" s="44" t="s">
        <v>21</v>
      </c>
      <c r="C193" s="45" t="s">
        <v>32</v>
      </c>
      <c r="D193" s="45" t="s">
        <v>224</v>
      </c>
      <c r="E193" s="45" t="s">
        <v>54</v>
      </c>
      <c r="F193" s="46">
        <v>30000</v>
      </c>
      <c r="G193" s="44" t="s">
        <v>75</v>
      </c>
    </row>
    <row r="194">
      <c r="A194" s="43">
        <v>46248</v>
      </c>
      <c r="B194" s="44" t="s">
        <v>21</v>
      </c>
      <c r="C194" s="45" t="s">
        <v>32</v>
      </c>
      <c r="D194" s="45" t="s">
        <v>125</v>
      </c>
      <c r="E194" s="45" t="s">
        <v>54</v>
      </c>
      <c r="F194" s="46">
        <v>25000</v>
      </c>
      <c r="G194" s="44" t="s">
        <v>75</v>
      </c>
    </row>
    <row r="195">
      <c r="A195" s="43">
        <v>46248</v>
      </c>
      <c r="B195" s="44" t="s">
        <v>21</v>
      </c>
      <c r="C195" s="45" t="s">
        <v>32</v>
      </c>
      <c r="D195" s="45" t="s">
        <v>225</v>
      </c>
      <c r="E195" s="45" t="s">
        <v>54</v>
      </c>
      <c r="F195" s="46">
        <v>12000</v>
      </c>
      <c r="G195" s="44" t="s">
        <v>75</v>
      </c>
    </row>
    <row r="196">
      <c r="A196" s="43">
        <v>46247</v>
      </c>
      <c r="B196" s="44" t="s">
        <v>21</v>
      </c>
      <c r="C196" s="45" t="s">
        <v>32</v>
      </c>
      <c r="D196" s="45" t="s">
        <v>201</v>
      </c>
      <c r="E196" s="45" t="s">
        <v>54</v>
      </c>
      <c r="F196" s="46">
        <v>20000</v>
      </c>
      <c r="G196" s="44" t="s">
        <v>75</v>
      </c>
    </row>
    <row r="197">
      <c r="A197" s="43">
        <v>46247</v>
      </c>
      <c r="B197" s="44" t="s">
        <v>21</v>
      </c>
      <c r="C197" s="45" t="s">
        <v>34</v>
      </c>
      <c r="D197" s="45" t="s">
        <v>226</v>
      </c>
      <c r="E197" s="45" t="s">
        <v>54</v>
      </c>
      <c r="F197" s="46">
        <v>2000</v>
      </c>
      <c r="G197" s="44" t="s">
        <v>75</v>
      </c>
    </row>
    <row r="198">
      <c r="A198" s="43">
        <v>46247</v>
      </c>
      <c r="B198" s="44" t="s">
        <v>21</v>
      </c>
      <c r="C198" s="45" t="s">
        <v>32</v>
      </c>
      <c r="D198" s="45" t="s">
        <v>227</v>
      </c>
      <c r="E198" s="45" t="s">
        <v>54</v>
      </c>
      <c r="F198" s="46">
        <v>25000</v>
      </c>
      <c r="G198" s="44" t="s">
        <v>75</v>
      </c>
    </row>
    <row r="199">
      <c r="A199" s="43">
        <v>46247</v>
      </c>
      <c r="B199" s="44" t="s">
        <v>21</v>
      </c>
      <c r="C199" s="45" t="s">
        <v>32</v>
      </c>
      <c r="D199" s="45" t="s">
        <v>228</v>
      </c>
      <c r="E199" s="45" t="s">
        <v>54</v>
      </c>
      <c r="F199" s="46">
        <v>8000</v>
      </c>
      <c r="G199" s="44" t="s">
        <v>75</v>
      </c>
    </row>
    <row r="200">
      <c r="A200" s="43">
        <v>46247</v>
      </c>
      <c r="B200" s="44" t="s">
        <v>21</v>
      </c>
      <c r="C200" s="45" t="s">
        <v>33</v>
      </c>
      <c r="D200" s="45" t="s">
        <v>229</v>
      </c>
      <c r="E200" s="45" t="s">
        <v>54</v>
      </c>
      <c r="F200" s="46">
        <v>30000</v>
      </c>
      <c r="G200" s="44" t="s">
        <v>75</v>
      </c>
    </row>
    <row r="201">
      <c r="A201" s="43">
        <v>46247</v>
      </c>
      <c r="B201" s="44" t="s">
        <v>21</v>
      </c>
      <c r="C201" s="45" t="s">
        <v>32</v>
      </c>
      <c r="D201" s="45" t="s">
        <v>230</v>
      </c>
      <c r="E201" s="45" t="s">
        <v>54</v>
      </c>
      <c r="F201" s="46">
        <v>30000</v>
      </c>
      <c r="G201" s="44" t="s">
        <v>75</v>
      </c>
    </row>
    <row r="202">
      <c r="A202" s="43">
        <v>46247</v>
      </c>
      <c r="B202" s="44" t="s">
        <v>21</v>
      </c>
      <c r="C202" s="45" t="s">
        <v>31</v>
      </c>
      <c r="D202" s="45" t="s">
        <v>228</v>
      </c>
      <c r="E202" s="45" t="s">
        <v>54</v>
      </c>
      <c r="F202" s="46">
        <v>15000</v>
      </c>
      <c r="G202" s="44" t="s">
        <v>75</v>
      </c>
    </row>
    <row r="203">
      <c r="A203" s="43">
        <v>46247</v>
      </c>
      <c r="B203" s="44" t="s">
        <v>20</v>
      </c>
      <c r="C203" s="45" t="s">
        <v>57</v>
      </c>
      <c r="D203" s="45" t="s">
        <v>231</v>
      </c>
      <c r="E203" s="45" t="s">
        <v>54</v>
      </c>
      <c r="F203" s="46">
        <v>10000</v>
      </c>
      <c r="G203" s="44" t="s">
        <v>75</v>
      </c>
    </row>
    <row r="204">
      <c r="A204" s="43">
        <v>46246</v>
      </c>
      <c r="B204" s="44" t="s">
        <v>21</v>
      </c>
      <c r="C204" s="45" t="s">
        <v>33</v>
      </c>
      <c r="D204" s="45" t="s">
        <v>232</v>
      </c>
      <c r="E204" s="45" t="s">
        <v>54</v>
      </c>
      <c r="F204" s="46">
        <v>100000</v>
      </c>
      <c r="G204" s="44" t="s">
        <v>75</v>
      </c>
    </row>
    <row r="205">
      <c r="A205" s="43">
        <v>46246</v>
      </c>
      <c r="B205" s="44" t="s">
        <v>21</v>
      </c>
      <c r="C205" s="45" t="s">
        <v>33</v>
      </c>
      <c r="D205" s="45" t="s">
        <v>233</v>
      </c>
      <c r="E205" s="45" t="s">
        <v>54</v>
      </c>
      <c r="F205" s="46">
        <v>90000</v>
      </c>
      <c r="G205" s="44" t="s">
        <v>75</v>
      </c>
    </row>
    <row r="206">
      <c r="A206" s="43">
        <v>46246</v>
      </c>
      <c r="B206" s="44" t="s">
        <v>21</v>
      </c>
      <c r="C206" s="45" t="s">
        <v>33</v>
      </c>
      <c r="D206" s="45" t="s">
        <v>234</v>
      </c>
      <c r="E206" s="45" t="s">
        <v>54</v>
      </c>
      <c r="F206" s="46">
        <v>15000</v>
      </c>
      <c r="G206" s="44" t="s">
        <v>75</v>
      </c>
    </row>
    <row r="207">
      <c r="A207" s="43">
        <v>46246</v>
      </c>
      <c r="B207" s="44" t="s">
        <v>21</v>
      </c>
      <c r="C207" s="45" t="s">
        <v>32</v>
      </c>
      <c r="D207" s="45" t="s">
        <v>201</v>
      </c>
      <c r="E207" s="45" t="s">
        <v>54</v>
      </c>
      <c r="F207" s="46">
        <v>20000</v>
      </c>
      <c r="G207" s="44" t="s">
        <v>75</v>
      </c>
    </row>
    <row r="208">
      <c r="A208" s="43">
        <v>46246</v>
      </c>
      <c r="B208" s="44" t="s">
        <v>21</v>
      </c>
      <c r="C208" s="45" t="s">
        <v>32</v>
      </c>
      <c r="D208" s="45" t="s">
        <v>235</v>
      </c>
      <c r="E208" s="45" t="s">
        <v>54</v>
      </c>
      <c r="F208" s="46">
        <v>25000</v>
      </c>
      <c r="G208" s="44" t="s">
        <v>75</v>
      </c>
    </row>
    <row r="209">
      <c r="A209" s="43">
        <v>46246</v>
      </c>
      <c r="B209" s="44" t="s">
        <v>20</v>
      </c>
      <c r="C209" s="45" t="s">
        <v>57</v>
      </c>
      <c r="D209" s="45" t="s">
        <v>81</v>
      </c>
      <c r="E209" s="45" t="s">
        <v>54</v>
      </c>
      <c r="F209" s="46">
        <v>192000</v>
      </c>
      <c r="G209" s="44" t="s">
        <v>75</v>
      </c>
    </row>
    <row r="210">
      <c r="A210" s="43">
        <v>46246</v>
      </c>
      <c r="B210" s="44" t="s">
        <v>20</v>
      </c>
      <c r="C210" s="45" t="s">
        <v>57</v>
      </c>
      <c r="D210" s="45" t="s">
        <v>236</v>
      </c>
      <c r="E210" s="45" t="s">
        <v>54</v>
      </c>
      <c r="F210" s="46">
        <v>71000</v>
      </c>
      <c r="G210" s="44" t="s">
        <v>75</v>
      </c>
    </row>
    <row r="211">
      <c r="A211" s="43">
        <v>46245</v>
      </c>
      <c r="B211" s="44" t="s">
        <v>21</v>
      </c>
      <c r="C211" s="45" t="s">
        <v>32</v>
      </c>
      <c r="D211" s="45" t="s">
        <v>237</v>
      </c>
      <c r="E211" s="45" t="s">
        <v>54</v>
      </c>
      <c r="F211" s="46">
        <v>20000</v>
      </c>
      <c r="G211" s="44" t="s">
        <v>75</v>
      </c>
    </row>
    <row r="212">
      <c r="A212" s="43">
        <v>46245</v>
      </c>
      <c r="B212" s="44" t="s">
        <v>21</v>
      </c>
      <c r="C212" s="45" t="s">
        <v>35</v>
      </c>
      <c r="D212" s="45" t="s">
        <v>238</v>
      </c>
      <c r="E212" s="45" t="s">
        <v>54</v>
      </c>
      <c r="F212" s="46">
        <v>260000</v>
      </c>
      <c r="G212" s="44" t="s">
        <v>75</v>
      </c>
    </row>
    <row r="213">
      <c r="A213" s="43">
        <v>46245</v>
      </c>
      <c r="B213" s="44" t="s">
        <v>21</v>
      </c>
      <c r="C213" s="45" t="s">
        <v>32</v>
      </c>
      <c r="D213" s="45" t="s">
        <v>235</v>
      </c>
      <c r="E213" s="45" t="s">
        <v>54</v>
      </c>
      <c r="F213" s="46">
        <v>25000</v>
      </c>
      <c r="G213" s="44" t="s">
        <v>75</v>
      </c>
    </row>
    <row r="214">
      <c r="A214" s="43">
        <v>46244</v>
      </c>
      <c r="B214" s="44" t="s">
        <v>21</v>
      </c>
      <c r="C214" s="45" t="s">
        <v>32</v>
      </c>
      <c r="D214" s="45" t="s">
        <v>239</v>
      </c>
      <c r="E214" s="45" t="s">
        <v>54</v>
      </c>
      <c r="F214" s="46">
        <v>30000</v>
      </c>
      <c r="G214" s="44" t="s">
        <v>75</v>
      </c>
    </row>
    <row r="215">
      <c r="A215" s="43">
        <v>46244</v>
      </c>
      <c r="B215" s="44" t="s">
        <v>21</v>
      </c>
      <c r="C215" s="45" t="s">
        <v>34</v>
      </c>
      <c r="D215" s="45" t="s">
        <v>240</v>
      </c>
      <c r="E215" s="45" t="s">
        <v>54</v>
      </c>
      <c r="F215" s="46">
        <v>10000</v>
      </c>
      <c r="G215" s="44" t="s">
        <v>75</v>
      </c>
    </row>
    <row r="216">
      <c r="A216" s="43">
        <v>46244</v>
      </c>
      <c r="B216" s="44" t="s">
        <v>21</v>
      </c>
      <c r="C216" s="45" t="s">
        <v>32</v>
      </c>
      <c r="D216" s="45" t="s">
        <v>241</v>
      </c>
      <c r="E216" s="45" t="s">
        <v>54</v>
      </c>
      <c r="F216" s="46">
        <v>25000</v>
      </c>
      <c r="G216" s="44" t="s">
        <v>75</v>
      </c>
    </row>
    <row r="217">
      <c r="A217" s="43">
        <v>46244</v>
      </c>
      <c r="B217" s="44" t="s">
        <v>21</v>
      </c>
      <c r="C217" s="45" t="s">
        <v>33</v>
      </c>
      <c r="D217" s="45" t="s">
        <v>242</v>
      </c>
      <c r="E217" s="45" t="s">
        <v>54</v>
      </c>
      <c r="F217" s="46">
        <v>30000</v>
      </c>
      <c r="G217" s="44" t="s">
        <v>75</v>
      </c>
    </row>
    <row r="218">
      <c r="A218" s="43">
        <v>46244</v>
      </c>
      <c r="B218" s="44" t="s">
        <v>20</v>
      </c>
      <c r="C218" s="45" t="s">
        <v>57</v>
      </c>
      <c r="D218" s="45" t="s">
        <v>81</v>
      </c>
      <c r="E218" s="45" t="s">
        <v>54</v>
      </c>
      <c r="F218" s="46">
        <v>100000</v>
      </c>
      <c r="G218" s="44" t="s">
        <v>75</v>
      </c>
    </row>
    <row r="219">
      <c r="A219" s="43">
        <v>46244</v>
      </c>
      <c r="B219" s="44" t="s">
        <v>20</v>
      </c>
      <c r="C219" s="45" t="s">
        <v>57</v>
      </c>
      <c r="D219" s="45" t="s">
        <v>243</v>
      </c>
      <c r="E219" s="45" t="s">
        <v>54</v>
      </c>
      <c r="F219" s="46">
        <v>5000</v>
      </c>
      <c r="G219" s="44" t="s">
        <v>75</v>
      </c>
    </row>
    <row r="220">
      <c r="A220" s="43">
        <v>46243</v>
      </c>
      <c r="B220" s="44" t="s">
        <v>21</v>
      </c>
      <c r="C220" s="45" t="s">
        <v>32</v>
      </c>
      <c r="D220" s="45" t="s">
        <v>244</v>
      </c>
      <c r="E220" s="45" t="s">
        <v>54</v>
      </c>
      <c r="F220" s="46">
        <v>25000</v>
      </c>
      <c r="G220" s="44" t="s">
        <v>75</v>
      </c>
    </row>
    <row r="221">
      <c r="A221" s="43">
        <v>46243</v>
      </c>
      <c r="B221" s="44" t="s">
        <v>21</v>
      </c>
      <c r="C221" s="45" t="s">
        <v>32</v>
      </c>
      <c r="D221" s="45" t="s">
        <v>125</v>
      </c>
      <c r="E221" s="45" t="s">
        <v>54</v>
      </c>
      <c r="F221" s="46">
        <v>25000</v>
      </c>
      <c r="G221" s="44" t="s">
        <v>75</v>
      </c>
    </row>
    <row r="222">
      <c r="A222" s="43">
        <v>46242</v>
      </c>
      <c r="B222" s="44" t="s">
        <v>21</v>
      </c>
      <c r="C222" s="45" t="s">
        <v>32</v>
      </c>
      <c r="D222" s="45" t="s">
        <v>166</v>
      </c>
      <c r="E222" s="45" t="s">
        <v>54</v>
      </c>
      <c r="F222" s="46">
        <v>15000</v>
      </c>
      <c r="G222" s="44" t="s">
        <v>75</v>
      </c>
    </row>
    <row r="223">
      <c r="A223" s="43">
        <v>46242</v>
      </c>
      <c r="B223" s="44" t="s">
        <v>20</v>
      </c>
      <c r="C223" s="45" t="s">
        <v>57</v>
      </c>
      <c r="D223" s="45" t="s">
        <v>245</v>
      </c>
      <c r="E223" s="45" t="s">
        <v>54</v>
      </c>
      <c r="F223" s="46">
        <v>200000</v>
      </c>
      <c r="G223" s="44" t="s">
        <v>75</v>
      </c>
    </row>
    <row r="224">
      <c r="A224" s="43">
        <v>46241</v>
      </c>
      <c r="B224" s="44" t="s">
        <v>21</v>
      </c>
      <c r="C224" s="45" t="s">
        <v>32</v>
      </c>
      <c r="D224" s="45" t="s">
        <v>246</v>
      </c>
      <c r="E224" s="45" t="s">
        <v>54</v>
      </c>
      <c r="F224" s="46">
        <v>25000</v>
      </c>
      <c r="G224" s="44" t="s">
        <v>75</v>
      </c>
    </row>
    <row r="225">
      <c r="A225" s="43">
        <v>46241</v>
      </c>
      <c r="B225" s="44" t="s">
        <v>21</v>
      </c>
      <c r="C225" s="45" t="s">
        <v>32</v>
      </c>
      <c r="D225" s="45" t="s">
        <v>166</v>
      </c>
      <c r="E225" s="45" t="s">
        <v>54</v>
      </c>
      <c r="F225" s="46">
        <v>15000</v>
      </c>
      <c r="G225" s="44" t="s">
        <v>75</v>
      </c>
    </row>
    <row r="226">
      <c r="A226" s="43">
        <v>46241</v>
      </c>
      <c r="B226" s="44" t="s">
        <v>21</v>
      </c>
      <c r="C226" s="45" t="s">
        <v>37</v>
      </c>
      <c r="D226" s="45" t="s">
        <v>247</v>
      </c>
      <c r="E226" s="45" t="s">
        <v>54</v>
      </c>
      <c r="F226" s="46">
        <v>200000</v>
      </c>
      <c r="G226" s="44" t="s">
        <v>75</v>
      </c>
    </row>
    <row r="227">
      <c r="A227" s="43">
        <v>46240</v>
      </c>
      <c r="B227" s="44" t="s">
        <v>21</v>
      </c>
      <c r="C227" s="45" t="s">
        <v>34</v>
      </c>
      <c r="D227" s="45" t="s">
        <v>248</v>
      </c>
      <c r="E227" s="45" t="s">
        <v>54</v>
      </c>
      <c r="F227" s="46">
        <v>2000000</v>
      </c>
      <c r="G227" s="44" t="s">
        <v>75</v>
      </c>
    </row>
    <row r="228">
      <c r="A228" s="43">
        <v>46240</v>
      </c>
      <c r="B228" s="44" t="s">
        <v>21</v>
      </c>
      <c r="C228" s="45" t="s">
        <v>32</v>
      </c>
      <c r="D228" s="45" t="s">
        <v>166</v>
      </c>
      <c r="E228" s="45" t="s">
        <v>54</v>
      </c>
      <c r="F228" s="46">
        <v>15000</v>
      </c>
      <c r="G228" s="44" t="s">
        <v>75</v>
      </c>
    </row>
    <row r="229">
      <c r="A229" s="43">
        <v>46240</v>
      </c>
      <c r="B229" s="44" t="s">
        <v>21</v>
      </c>
      <c r="C229" s="45" t="s">
        <v>32</v>
      </c>
      <c r="D229" s="45" t="s">
        <v>166</v>
      </c>
      <c r="E229" s="45" t="s">
        <v>54</v>
      </c>
      <c r="F229" s="46">
        <v>25000</v>
      </c>
      <c r="G229" s="44" t="s">
        <v>75</v>
      </c>
    </row>
    <row r="230">
      <c r="A230" s="43">
        <v>46240</v>
      </c>
      <c r="B230" s="44" t="s">
        <v>20</v>
      </c>
      <c r="C230" s="45" t="s">
        <v>57</v>
      </c>
      <c r="D230" s="45" t="s">
        <v>204</v>
      </c>
      <c r="E230" s="45" t="s">
        <v>54</v>
      </c>
      <c r="F230" s="46">
        <v>7000</v>
      </c>
      <c r="G230" s="44" t="s">
        <v>75</v>
      </c>
    </row>
    <row r="231">
      <c r="A231" s="43">
        <v>46240</v>
      </c>
      <c r="B231" s="44" t="s">
        <v>20</v>
      </c>
      <c r="C231" s="45" t="s">
        <v>57</v>
      </c>
      <c r="D231" s="45" t="s">
        <v>249</v>
      </c>
      <c r="E231" s="45" t="s">
        <v>54</v>
      </c>
      <c r="F231" s="46">
        <v>10000</v>
      </c>
      <c r="G231" s="44" t="s">
        <v>75</v>
      </c>
    </row>
    <row r="232">
      <c r="A232" s="43">
        <v>46239</v>
      </c>
      <c r="B232" s="44" t="s">
        <v>21</v>
      </c>
      <c r="C232" s="45" t="s">
        <v>32</v>
      </c>
      <c r="D232" s="45" t="s">
        <v>250</v>
      </c>
      <c r="E232" s="45" t="s">
        <v>54</v>
      </c>
      <c r="F232" s="46">
        <v>30000</v>
      </c>
      <c r="G232" s="44" t="s">
        <v>75</v>
      </c>
    </row>
    <row r="233">
      <c r="A233" s="43">
        <v>46239</v>
      </c>
      <c r="B233" s="44" t="s">
        <v>20</v>
      </c>
      <c r="C233" s="45" t="s">
        <v>57</v>
      </c>
      <c r="D233" s="45" t="s">
        <v>251</v>
      </c>
      <c r="E233" s="45" t="s">
        <v>54</v>
      </c>
      <c r="F233" s="46">
        <v>5000000</v>
      </c>
      <c r="G233" s="44" t="s">
        <v>75</v>
      </c>
    </row>
    <row r="234">
      <c r="A234" s="43">
        <v>46238</v>
      </c>
      <c r="B234" s="44" t="s">
        <v>21</v>
      </c>
      <c r="C234" s="45" t="s">
        <v>34</v>
      </c>
      <c r="D234" s="45" t="s">
        <v>252</v>
      </c>
      <c r="E234" s="45" t="s">
        <v>54</v>
      </c>
      <c r="F234" s="46">
        <v>10000</v>
      </c>
      <c r="G234" s="44" t="s">
        <v>75</v>
      </c>
    </row>
    <row r="235">
      <c r="A235" s="43">
        <v>46238</v>
      </c>
      <c r="B235" s="44" t="s">
        <v>21</v>
      </c>
      <c r="C235" s="45" t="s">
        <v>33</v>
      </c>
      <c r="D235" s="45" t="s">
        <v>253</v>
      </c>
      <c r="E235" s="45" t="s">
        <v>54</v>
      </c>
      <c r="F235" s="46">
        <v>47000</v>
      </c>
      <c r="G235" s="44" t="s">
        <v>75</v>
      </c>
    </row>
    <row r="236">
      <c r="A236" s="43">
        <v>46238</v>
      </c>
      <c r="B236" s="44" t="s">
        <v>21</v>
      </c>
      <c r="C236" s="45" t="s">
        <v>31</v>
      </c>
      <c r="D236" s="45" t="s">
        <v>254</v>
      </c>
      <c r="E236" s="45" t="s">
        <v>54</v>
      </c>
      <c r="F236" s="46">
        <v>1406000</v>
      </c>
      <c r="G236" s="44" t="s">
        <v>75</v>
      </c>
    </row>
    <row r="237">
      <c r="A237" s="43">
        <v>46237</v>
      </c>
      <c r="B237" s="44" t="s">
        <v>21</v>
      </c>
      <c r="C237" s="45" t="s">
        <v>32</v>
      </c>
      <c r="D237" s="45" t="s">
        <v>255</v>
      </c>
      <c r="E237" s="45" t="s">
        <v>54</v>
      </c>
      <c r="F237" s="46">
        <v>30000</v>
      </c>
      <c r="G237" s="44" t="s">
        <v>75</v>
      </c>
    </row>
    <row r="238">
      <c r="A238" s="43">
        <v>46236</v>
      </c>
      <c r="B238" s="44" t="s">
        <v>21</v>
      </c>
      <c r="C238" s="45" t="s">
        <v>32</v>
      </c>
      <c r="D238" s="45" t="s">
        <v>256</v>
      </c>
      <c r="E238" s="45" t="s">
        <v>54</v>
      </c>
      <c r="F238" s="46">
        <v>52000</v>
      </c>
      <c r="G238" s="44" t="s">
        <v>75</v>
      </c>
    </row>
    <row r="239">
      <c r="A239" s="43">
        <v>46236</v>
      </c>
      <c r="B239" s="44" t="s">
        <v>21</v>
      </c>
      <c r="C239" s="45" t="s">
        <v>32</v>
      </c>
      <c r="D239" s="45" t="s">
        <v>257</v>
      </c>
      <c r="E239" s="45" t="s">
        <v>54</v>
      </c>
      <c r="F239" s="46">
        <v>35000</v>
      </c>
      <c r="G239" s="44" t="s">
        <v>75</v>
      </c>
    </row>
    <row r="240">
      <c r="A240" s="43">
        <v>46236</v>
      </c>
      <c r="B240" s="44" t="s">
        <v>21</v>
      </c>
      <c r="C240" s="45" t="s">
        <v>35</v>
      </c>
      <c r="D240" s="45" t="s">
        <v>258</v>
      </c>
      <c r="E240" s="45" t="s">
        <v>54</v>
      </c>
      <c r="F240" s="46">
        <v>69000</v>
      </c>
      <c r="G240" s="44" t="s">
        <v>75</v>
      </c>
    </row>
    <row r="241">
      <c r="A241" s="43">
        <v>46236</v>
      </c>
      <c r="B241" s="44" t="s">
        <v>21</v>
      </c>
      <c r="C241" s="45" t="s">
        <v>32</v>
      </c>
      <c r="D241" s="45" t="s">
        <v>259</v>
      </c>
      <c r="E241" s="45" t="s">
        <v>54</v>
      </c>
      <c r="F241" s="46">
        <v>25000</v>
      </c>
      <c r="G241" s="44" t="s">
        <v>75</v>
      </c>
    </row>
    <row r="242">
      <c r="A242" s="43">
        <v>46235</v>
      </c>
      <c r="B242" s="44" t="s">
        <v>21</v>
      </c>
      <c r="C242" s="45" t="s">
        <v>32</v>
      </c>
      <c r="D242" s="45" t="s">
        <v>235</v>
      </c>
      <c r="E242" s="45" t="s">
        <v>54</v>
      </c>
      <c r="F242" s="46">
        <v>25000</v>
      </c>
      <c r="G242" s="44" t="s">
        <v>75</v>
      </c>
    </row>
    <row r="243">
      <c r="A243" s="43">
        <v>46235</v>
      </c>
      <c r="B243" s="44" t="s">
        <v>21</v>
      </c>
      <c r="C243" s="45" t="s">
        <v>32</v>
      </c>
      <c r="D243" s="45" t="s">
        <v>125</v>
      </c>
      <c r="E243" s="45" t="s">
        <v>54</v>
      </c>
      <c r="F243" s="46">
        <v>25000</v>
      </c>
      <c r="G243" s="44" t="s">
        <v>75</v>
      </c>
    </row>
    <row r="244">
      <c r="A244" s="43">
        <v>46234</v>
      </c>
      <c r="B244" s="44" t="s">
        <v>21</v>
      </c>
      <c r="C244" s="45" t="s">
        <v>33</v>
      </c>
      <c r="D244" s="45" t="s">
        <v>260</v>
      </c>
      <c r="E244" s="45" t="s">
        <v>54</v>
      </c>
      <c r="F244" s="46">
        <v>71000</v>
      </c>
      <c r="G244" s="44" t="s">
        <v>75</v>
      </c>
    </row>
    <row r="245">
      <c r="A245" s="43">
        <v>46234</v>
      </c>
      <c r="B245" s="44" t="s">
        <v>21</v>
      </c>
      <c r="C245" s="45" t="s">
        <v>32</v>
      </c>
      <c r="D245" s="45" t="s">
        <v>261</v>
      </c>
      <c r="E245" s="45" t="s">
        <v>54</v>
      </c>
      <c r="F245" s="46">
        <v>35000</v>
      </c>
      <c r="G245" s="44" t="s">
        <v>75</v>
      </c>
    </row>
    <row r="246">
      <c r="A246" s="43">
        <v>46234</v>
      </c>
      <c r="B246" s="44" t="s">
        <v>21</v>
      </c>
      <c r="C246" s="45" t="s">
        <v>33</v>
      </c>
      <c r="D246" s="45" t="s">
        <v>262</v>
      </c>
      <c r="E246" s="45" t="s">
        <v>54</v>
      </c>
      <c r="F246" s="46">
        <v>3300000</v>
      </c>
      <c r="G246" s="44" t="s">
        <v>75</v>
      </c>
    </row>
    <row r="247">
      <c r="A247" s="43">
        <v>46234</v>
      </c>
      <c r="B247" s="44" t="s">
        <v>21</v>
      </c>
      <c r="C247" s="45" t="s">
        <v>32</v>
      </c>
      <c r="D247" s="45" t="s">
        <v>246</v>
      </c>
      <c r="E247" s="45" t="s">
        <v>54</v>
      </c>
      <c r="F247" s="46">
        <v>25000</v>
      </c>
      <c r="G247" s="44" t="s">
        <v>75</v>
      </c>
    </row>
    <row r="248">
      <c r="A248" s="43">
        <v>46233</v>
      </c>
      <c r="B248" s="44" t="s">
        <v>21</v>
      </c>
      <c r="C248" s="45" t="s">
        <v>32</v>
      </c>
      <c r="D248" s="45" t="s">
        <v>246</v>
      </c>
      <c r="E248" s="45" t="s">
        <v>54</v>
      </c>
      <c r="F248" s="46">
        <v>25000</v>
      </c>
      <c r="G248" s="44" t="s">
        <v>75</v>
      </c>
    </row>
    <row r="249">
      <c r="A249" s="43">
        <v>46233</v>
      </c>
      <c r="B249" s="44" t="s">
        <v>21</v>
      </c>
      <c r="C249" s="45" t="s">
        <v>33</v>
      </c>
      <c r="D249" s="45" t="s">
        <v>263</v>
      </c>
      <c r="E249" s="45" t="s">
        <v>54</v>
      </c>
      <c r="F249" s="46">
        <v>5000</v>
      </c>
      <c r="G249" s="44" t="s">
        <v>75</v>
      </c>
    </row>
    <row r="250">
      <c r="A250" s="43">
        <v>46233</v>
      </c>
      <c r="B250" s="44" t="s">
        <v>21</v>
      </c>
      <c r="C250" s="45" t="s">
        <v>32</v>
      </c>
      <c r="D250" s="45" t="s">
        <v>125</v>
      </c>
      <c r="E250" s="45" t="s">
        <v>54</v>
      </c>
      <c r="F250" s="46">
        <v>25000</v>
      </c>
      <c r="G250" s="44" t="s">
        <v>75</v>
      </c>
    </row>
    <row r="251">
      <c r="A251" s="43">
        <v>46232</v>
      </c>
      <c r="B251" s="44" t="s">
        <v>21</v>
      </c>
      <c r="C251" s="45" t="s">
        <v>32</v>
      </c>
      <c r="D251" s="45" t="s">
        <v>264</v>
      </c>
      <c r="E251" s="45" t="s">
        <v>54</v>
      </c>
      <c r="F251" s="46">
        <v>28000</v>
      </c>
      <c r="G251" s="44" t="s">
        <v>75</v>
      </c>
    </row>
    <row r="252">
      <c r="A252" s="43">
        <v>46232</v>
      </c>
      <c r="B252" s="44" t="s">
        <v>21</v>
      </c>
      <c r="C252" s="45" t="s">
        <v>31</v>
      </c>
      <c r="D252" s="45" t="s">
        <v>265</v>
      </c>
      <c r="E252" s="45" t="s">
        <v>54</v>
      </c>
      <c r="F252" s="46">
        <v>25000</v>
      </c>
      <c r="G252" s="44" t="s">
        <v>75</v>
      </c>
    </row>
    <row r="253">
      <c r="A253" s="43">
        <v>46232</v>
      </c>
      <c r="B253" s="44" t="s">
        <v>20</v>
      </c>
      <c r="C253" s="45" t="s">
        <v>57</v>
      </c>
      <c r="D253" s="45" t="s">
        <v>266</v>
      </c>
      <c r="E253" s="45" t="s">
        <v>54</v>
      </c>
      <c r="F253" s="46">
        <v>1000000</v>
      </c>
      <c r="G253" s="44" t="s">
        <v>75</v>
      </c>
    </row>
    <row r="254">
      <c r="A254" s="43">
        <v>46231</v>
      </c>
      <c r="B254" s="44" t="s">
        <v>21</v>
      </c>
      <c r="C254" s="45" t="s">
        <v>34</v>
      </c>
      <c r="D254" s="45" t="s">
        <v>267</v>
      </c>
      <c r="E254" s="45" t="s">
        <v>54</v>
      </c>
      <c r="F254" s="46">
        <v>600000</v>
      </c>
      <c r="G254" s="44" t="s">
        <v>75</v>
      </c>
    </row>
    <row r="255">
      <c r="A255" s="43">
        <v>46231</v>
      </c>
      <c r="B255" s="44" t="s">
        <v>21</v>
      </c>
      <c r="C255" s="45" t="s">
        <v>32</v>
      </c>
      <c r="D255" s="45" t="s">
        <v>268</v>
      </c>
      <c r="E255" s="45" t="s">
        <v>54</v>
      </c>
      <c r="F255" s="46">
        <v>11000</v>
      </c>
      <c r="G255" s="44" t="s">
        <v>75</v>
      </c>
    </row>
    <row r="256">
      <c r="A256" s="43">
        <v>46231</v>
      </c>
      <c r="B256" s="44" t="s">
        <v>21</v>
      </c>
      <c r="C256" s="45" t="s">
        <v>32</v>
      </c>
      <c r="D256" s="45" t="s">
        <v>269</v>
      </c>
      <c r="E256" s="45" t="s">
        <v>54</v>
      </c>
      <c r="F256" s="46">
        <v>15000</v>
      </c>
      <c r="G256" s="44" t="s">
        <v>75</v>
      </c>
    </row>
    <row r="257">
      <c r="A257" s="43">
        <v>46159</v>
      </c>
      <c r="B257" s="44" t="s">
        <v>21</v>
      </c>
      <c r="C257" s="45" t="s">
        <v>32</v>
      </c>
      <c r="D257" s="45" t="s">
        <v>125</v>
      </c>
      <c r="E257" s="45" t="s">
        <v>54</v>
      </c>
      <c r="F257" s="46">
        <v>25000</v>
      </c>
      <c r="G257" s="44" t="s">
        <v>75</v>
      </c>
    </row>
    <row r="258">
      <c r="A258" s="43">
        <v>46158</v>
      </c>
      <c r="B258" s="44" t="s">
        <v>21</v>
      </c>
      <c r="C258" s="45" t="s">
        <v>32</v>
      </c>
      <c r="D258" s="45" t="s">
        <v>270</v>
      </c>
      <c r="E258" s="45" t="s">
        <v>54</v>
      </c>
      <c r="F258" s="46">
        <v>20000</v>
      </c>
      <c r="G258" s="44" t="s">
        <v>75</v>
      </c>
    </row>
    <row r="259">
      <c r="A259" s="43">
        <v>46158</v>
      </c>
      <c r="B259" s="44" t="s">
        <v>21</v>
      </c>
      <c r="C259" s="45" t="s">
        <v>35</v>
      </c>
      <c r="D259" s="45" t="s">
        <v>271</v>
      </c>
      <c r="E259" s="45" t="s">
        <v>54</v>
      </c>
      <c r="F259" s="46">
        <v>10000</v>
      </c>
      <c r="G259" s="44" t="s">
        <v>75</v>
      </c>
    </row>
    <row r="260">
      <c r="A260" s="43">
        <v>46158</v>
      </c>
      <c r="B260" s="44" t="s">
        <v>21</v>
      </c>
      <c r="C260" s="45" t="s">
        <v>32</v>
      </c>
      <c r="D260" s="45" t="s">
        <v>272</v>
      </c>
      <c r="E260" s="45" t="s">
        <v>54</v>
      </c>
      <c r="F260" s="46">
        <v>34000</v>
      </c>
      <c r="G260" s="44" t="s">
        <v>75</v>
      </c>
    </row>
    <row r="261">
      <c r="A261" s="43">
        <v>46157</v>
      </c>
      <c r="B261" s="44" t="s">
        <v>21</v>
      </c>
      <c r="C261" s="45" t="s">
        <v>32</v>
      </c>
      <c r="D261" s="45" t="s">
        <v>273</v>
      </c>
      <c r="E261" s="45" t="s">
        <v>54</v>
      </c>
      <c r="F261" s="46">
        <v>48000</v>
      </c>
      <c r="G261" s="44" t="s">
        <v>75</v>
      </c>
    </row>
    <row r="262">
      <c r="A262" s="43">
        <v>46157</v>
      </c>
      <c r="B262" s="44" t="s">
        <v>21</v>
      </c>
      <c r="C262" s="45" t="s">
        <v>32</v>
      </c>
      <c r="D262" s="45" t="s">
        <v>125</v>
      </c>
      <c r="E262" s="45" t="s">
        <v>54</v>
      </c>
      <c r="F262" s="46">
        <v>25000</v>
      </c>
      <c r="G262" s="44" t="s">
        <v>75</v>
      </c>
    </row>
    <row r="263">
      <c r="A263" s="43">
        <v>46157</v>
      </c>
      <c r="B263" s="44" t="s">
        <v>21</v>
      </c>
      <c r="C263" s="45" t="s">
        <v>32</v>
      </c>
      <c r="D263" s="45" t="s">
        <v>274</v>
      </c>
      <c r="E263" s="45" t="s">
        <v>54</v>
      </c>
      <c r="F263" s="46">
        <v>15000</v>
      </c>
      <c r="G263" s="44" t="s">
        <v>75</v>
      </c>
    </row>
    <row r="264">
      <c r="A264" s="43">
        <v>46157</v>
      </c>
      <c r="B264" s="44" t="s">
        <v>20</v>
      </c>
      <c r="C264" s="45" t="s">
        <v>57</v>
      </c>
      <c r="D264" s="45" t="s">
        <v>275</v>
      </c>
      <c r="E264" s="45" t="s">
        <v>54</v>
      </c>
      <c r="F264" s="46">
        <v>30000</v>
      </c>
      <c r="G264" s="44" t="s">
        <v>75</v>
      </c>
    </row>
    <row r="265">
      <c r="A265" s="43">
        <v>46157</v>
      </c>
      <c r="B265" s="44" t="s">
        <v>20</v>
      </c>
      <c r="C265" s="45" t="s">
        <v>57</v>
      </c>
      <c r="D265" s="45" t="s">
        <v>276</v>
      </c>
      <c r="E265" s="45" t="s">
        <v>54</v>
      </c>
      <c r="F265" s="46">
        <v>15000</v>
      </c>
      <c r="G265" s="44" t="s">
        <v>75</v>
      </c>
    </row>
    <row r="266">
      <c r="A266" s="43">
        <v>46156</v>
      </c>
      <c r="B266" s="44" t="s">
        <v>21</v>
      </c>
      <c r="C266" s="45" t="s">
        <v>40</v>
      </c>
      <c r="D266" s="45" t="s">
        <v>277</v>
      </c>
      <c r="E266" s="45" t="s">
        <v>54</v>
      </c>
      <c r="F266" s="46">
        <v>20000</v>
      </c>
      <c r="G266" s="44" t="s">
        <v>75</v>
      </c>
    </row>
    <row r="267">
      <c r="A267" s="43">
        <v>46154</v>
      </c>
      <c r="B267" s="44" t="s">
        <v>21</v>
      </c>
      <c r="C267" s="45" t="s">
        <v>32</v>
      </c>
      <c r="D267" s="45" t="s">
        <v>125</v>
      </c>
      <c r="E267" s="45" t="s">
        <v>54</v>
      </c>
      <c r="F267" s="46">
        <v>30000</v>
      </c>
      <c r="G267" s="44" t="s">
        <v>75</v>
      </c>
    </row>
    <row r="268">
      <c r="A268" s="43">
        <v>46154</v>
      </c>
      <c r="B268" s="44" t="s">
        <v>21</v>
      </c>
      <c r="C268" s="45" t="s">
        <v>33</v>
      </c>
      <c r="D268" s="45" t="s">
        <v>278</v>
      </c>
      <c r="E268" s="45" t="s">
        <v>54</v>
      </c>
      <c r="F268" s="46">
        <v>5000</v>
      </c>
      <c r="G268" s="44" t="s">
        <v>75</v>
      </c>
    </row>
    <row r="269">
      <c r="A269" s="43">
        <v>46154</v>
      </c>
      <c r="B269" s="44" t="s">
        <v>21</v>
      </c>
      <c r="C269" s="45" t="s">
        <v>37</v>
      </c>
      <c r="D269" s="45" t="s">
        <v>279</v>
      </c>
      <c r="E269" s="45" t="s">
        <v>54</v>
      </c>
      <c r="F269" s="46">
        <v>15000</v>
      </c>
      <c r="G269" s="44" t="s">
        <v>75</v>
      </c>
    </row>
    <row r="270">
      <c r="A270" s="43">
        <v>46154</v>
      </c>
      <c r="B270" s="44" t="s">
        <v>21</v>
      </c>
      <c r="C270" s="45" t="s">
        <v>32</v>
      </c>
      <c r="D270" s="45" t="s">
        <v>280</v>
      </c>
      <c r="E270" s="45" t="s">
        <v>54</v>
      </c>
      <c r="F270" s="46">
        <v>25000</v>
      </c>
      <c r="G270" s="44" t="s">
        <v>75</v>
      </c>
    </row>
    <row r="271">
      <c r="A271" s="43">
        <v>46153</v>
      </c>
      <c r="B271" s="44" t="s">
        <v>21</v>
      </c>
      <c r="C271" s="45" t="s">
        <v>32</v>
      </c>
      <c r="D271" s="45" t="s">
        <v>281</v>
      </c>
      <c r="E271" s="45" t="s">
        <v>54</v>
      </c>
      <c r="F271" s="46">
        <v>15000</v>
      </c>
      <c r="G271" s="44" t="s">
        <v>75</v>
      </c>
    </row>
    <row r="272">
      <c r="A272" s="43">
        <v>46153</v>
      </c>
      <c r="B272" s="44" t="s">
        <v>20</v>
      </c>
      <c r="C272" s="45" t="s">
        <v>57</v>
      </c>
      <c r="D272" s="45" t="s">
        <v>126</v>
      </c>
      <c r="E272" s="45" t="s">
        <v>54</v>
      </c>
      <c r="F272" s="46">
        <v>69000</v>
      </c>
      <c r="G272" s="44" t="s">
        <v>75</v>
      </c>
    </row>
    <row r="273">
      <c r="A273" s="43">
        <v>46152</v>
      </c>
      <c r="B273" s="44" t="s">
        <v>21</v>
      </c>
      <c r="C273" s="45" t="s">
        <v>40</v>
      </c>
      <c r="D273" s="45" t="s">
        <v>277</v>
      </c>
      <c r="E273" s="45" t="s">
        <v>54</v>
      </c>
      <c r="F273" s="46">
        <v>20000</v>
      </c>
      <c r="G273" s="44" t="s">
        <v>75</v>
      </c>
    </row>
    <row r="274">
      <c r="A274" s="43">
        <v>46152</v>
      </c>
      <c r="B274" s="44" t="s">
        <v>21</v>
      </c>
      <c r="C274" s="45" t="s">
        <v>32</v>
      </c>
      <c r="D274" s="45" t="s">
        <v>125</v>
      </c>
      <c r="E274" s="45" t="s">
        <v>54</v>
      </c>
      <c r="F274" s="46">
        <v>30000</v>
      </c>
      <c r="G274" s="44" t="s">
        <v>75</v>
      </c>
    </row>
    <row r="275">
      <c r="A275" s="43">
        <v>46152</v>
      </c>
      <c r="B275" s="44" t="s">
        <v>21</v>
      </c>
      <c r="C275" s="45" t="s">
        <v>32</v>
      </c>
      <c r="D275" s="45" t="s">
        <v>282</v>
      </c>
      <c r="E275" s="45" t="s">
        <v>54</v>
      </c>
      <c r="F275" s="46">
        <v>30000</v>
      </c>
      <c r="G275" s="44" t="s">
        <v>75</v>
      </c>
    </row>
    <row r="276">
      <c r="A276" s="43">
        <v>46151</v>
      </c>
      <c r="B276" s="44" t="s">
        <v>21</v>
      </c>
      <c r="C276" s="45" t="s">
        <v>32</v>
      </c>
      <c r="D276" s="45" t="s">
        <v>283</v>
      </c>
      <c r="E276" s="45" t="s">
        <v>54</v>
      </c>
      <c r="F276" s="46">
        <v>40000</v>
      </c>
      <c r="G276" s="44" t="s">
        <v>75</v>
      </c>
    </row>
    <row r="277">
      <c r="A277" s="43">
        <v>46151</v>
      </c>
      <c r="B277" s="44" t="s">
        <v>21</v>
      </c>
      <c r="C277" s="45" t="s">
        <v>40</v>
      </c>
      <c r="D277" s="45" t="s">
        <v>284</v>
      </c>
      <c r="E277" s="45" t="s">
        <v>54</v>
      </c>
      <c r="F277" s="46">
        <v>40000</v>
      </c>
      <c r="G277" s="44" t="s">
        <v>75</v>
      </c>
    </row>
    <row r="278">
      <c r="A278" s="43">
        <v>46151</v>
      </c>
      <c r="B278" s="44" t="s">
        <v>20</v>
      </c>
      <c r="C278" s="45" t="s">
        <v>57</v>
      </c>
      <c r="D278" s="45" t="s">
        <v>285</v>
      </c>
      <c r="E278" s="45" t="s">
        <v>54</v>
      </c>
      <c r="F278" s="46">
        <v>400000</v>
      </c>
      <c r="G278" s="44" t="s">
        <v>75</v>
      </c>
    </row>
    <row r="279">
      <c r="A279" s="43">
        <v>46150</v>
      </c>
      <c r="B279" s="44" t="s">
        <v>20</v>
      </c>
      <c r="C279" s="45" t="s">
        <v>57</v>
      </c>
      <c r="D279" s="45" t="s">
        <v>286</v>
      </c>
      <c r="E279" s="45" t="s">
        <v>54</v>
      </c>
      <c r="F279" s="46">
        <v>500000</v>
      </c>
      <c r="G279" s="44" t="s">
        <v>75</v>
      </c>
    </row>
    <row r="280">
      <c r="A280" s="43">
        <v>46149</v>
      </c>
      <c r="B280" s="44" t="s">
        <v>21</v>
      </c>
      <c r="C280" s="45" t="s">
        <v>32</v>
      </c>
      <c r="D280" s="45" t="s">
        <v>287</v>
      </c>
      <c r="E280" s="45" t="s">
        <v>54</v>
      </c>
      <c r="F280" s="46">
        <v>29000</v>
      </c>
      <c r="G280" s="44" t="s">
        <v>75</v>
      </c>
    </row>
    <row r="281">
      <c r="A281" s="43">
        <v>46149</v>
      </c>
      <c r="B281" s="44" t="s">
        <v>21</v>
      </c>
      <c r="C281" s="45" t="s">
        <v>32</v>
      </c>
      <c r="D281" s="45" t="s">
        <v>125</v>
      </c>
      <c r="E281" s="45" t="s">
        <v>54</v>
      </c>
      <c r="F281" s="46">
        <v>40000</v>
      </c>
      <c r="G281" s="44" t="s">
        <v>75</v>
      </c>
    </row>
    <row r="282">
      <c r="A282" s="43">
        <v>46149</v>
      </c>
      <c r="B282" s="44" t="s">
        <v>21</v>
      </c>
      <c r="C282" s="45" t="s">
        <v>32</v>
      </c>
      <c r="D282" s="45" t="s">
        <v>288</v>
      </c>
      <c r="E282" s="45" t="s">
        <v>54</v>
      </c>
      <c r="F282" s="46">
        <v>86000</v>
      </c>
      <c r="G282" s="44" t="s">
        <v>75</v>
      </c>
    </row>
    <row r="283">
      <c r="A283" s="43">
        <v>46148</v>
      </c>
      <c r="B283" s="44" t="s">
        <v>21</v>
      </c>
      <c r="C283" s="45" t="s">
        <v>32</v>
      </c>
      <c r="D283" s="45" t="s">
        <v>125</v>
      </c>
      <c r="E283" s="45" t="s">
        <v>54</v>
      </c>
      <c r="F283" s="46">
        <v>55000</v>
      </c>
      <c r="G283" s="44" t="s">
        <v>75</v>
      </c>
    </row>
    <row r="284">
      <c r="A284" s="43">
        <v>46147</v>
      </c>
      <c r="B284" s="44" t="s">
        <v>21</v>
      </c>
      <c r="C284" s="45" t="s">
        <v>31</v>
      </c>
      <c r="D284" s="45" t="s">
        <v>289</v>
      </c>
      <c r="E284" s="45" t="s">
        <v>54</v>
      </c>
      <c r="F284" s="46">
        <v>1832000</v>
      </c>
      <c r="G284" s="44" t="s">
        <v>75</v>
      </c>
    </row>
    <row r="285">
      <c r="A285" s="43">
        <v>46145</v>
      </c>
      <c r="B285" s="44" t="s">
        <v>21</v>
      </c>
      <c r="C285" s="45" t="s">
        <v>33</v>
      </c>
      <c r="D285" s="45" t="s">
        <v>290</v>
      </c>
      <c r="E285" s="45" t="s">
        <v>54</v>
      </c>
      <c r="F285" s="46">
        <v>84000</v>
      </c>
      <c r="G285" s="44" t="s">
        <v>75</v>
      </c>
    </row>
    <row r="286">
      <c r="A286" s="43">
        <v>46145</v>
      </c>
      <c r="B286" s="44" t="s">
        <v>20</v>
      </c>
      <c r="C286" s="45" t="s">
        <v>57</v>
      </c>
      <c r="D286" s="45" t="s">
        <v>291</v>
      </c>
      <c r="E286" s="45" t="s">
        <v>54</v>
      </c>
      <c r="F286" s="46">
        <v>100000</v>
      </c>
      <c r="G286" s="44" t="s">
        <v>75</v>
      </c>
    </row>
    <row r="287">
      <c r="A287" s="43">
        <v>46142</v>
      </c>
      <c r="B287" s="44" t="s">
        <v>21</v>
      </c>
      <c r="C287" s="45" t="s">
        <v>32</v>
      </c>
      <c r="D287" s="45" t="s">
        <v>292</v>
      </c>
      <c r="E287" s="45" t="s">
        <v>54</v>
      </c>
      <c r="F287" s="46">
        <v>51000</v>
      </c>
      <c r="G287" s="44" t="s">
        <v>75</v>
      </c>
    </row>
    <row r="288">
      <c r="A288" s="43">
        <v>46140</v>
      </c>
      <c r="B288" s="44" t="s">
        <v>21</v>
      </c>
      <c r="C288" s="45" t="s">
        <v>32</v>
      </c>
      <c r="D288" s="45" t="s">
        <v>293</v>
      </c>
      <c r="E288" s="45" t="s">
        <v>54</v>
      </c>
      <c r="F288" s="46">
        <v>10000</v>
      </c>
      <c r="G288" s="44" t="s">
        <v>75</v>
      </c>
    </row>
    <row r="289">
      <c r="A289" s="43">
        <v>46140</v>
      </c>
      <c r="B289" s="44" t="s">
        <v>21</v>
      </c>
      <c r="C289" s="45" t="s">
        <v>40</v>
      </c>
      <c r="D289" s="45" t="s">
        <v>284</v>
      </c>
      <c r="E289" s="45" t="s">
        <v>54</v>
      </c>
      <c r="F289" s="46">
        <v>20000</v>
      </c>
      <c r="G289" s="44" t="s">
        <v>75</v>
      </c>
    </row>
    <row r="290">
      <c r="A290" s="43">
        <v>46139</v>
      </c>
      <c r="B290" s="44" t="s">
        <v>21</v>
      </c>
      <c r="C290" s="45" t="s">
        <v>32</v>
      </c>
      <c r="D290" s="45" t="s">
        <v>294</v>
      </c>
      <c r="E290" s="45" t="s">
        <v>54</v>
      </c>
      <c r="F290" s="46">
        <v>72000</v>
      </c>
      <c r="G290" s="44" t="s">
        <v>75</v>
      </c>
    </row>
    <row r="291">
      <c r="A291" s="43">
        <v>46137</v>
      </c>
      <c r="B291" s="44" t="s">
        <v>21</v>
      </c>
      <c r="C291" s="45" t="s">
        <v>32</v>
      </c>
      <c r="D291" s="45" t="s">
        <v>125</v>
      </c>
      <c r="E291" s="45" t="s">
        <v>54</v>
      </c>
      <c r="F291" s="46">
        <v>25000</v>
      </c>
      <c r="G291" s="44" t="s">
        <v>75</v>
      </c>
    </row>
    <row r="292">
      <c r="A292" s="43">
        <v>46136</v>
      </c>
      <c r="B292" s="44" t="s">
        <v>21</v>
      </c>
      <c r="C292" s="45" t="s">
        <v>32</v>
      </c>
      <c r="D292" s="45" t="s">
        <v>295</v>
      </c>
      <c r="E292" s="45" t="s">
        <v>54</v>
      </c>
      <c r="F292" s="46">
        <v>12000</v>
      </c>
      <c r="G292" s="44" t="s">
        <v>75</v>
      </c>
    </row>
    <row r="293">
      <c r="A293" s="43">
        <v>46136</v>
      </c>
      <c r="B293" s="44" t="s">
        <v>21</v>
      </c>
      <c r="C293" s="45" t="s">
        <v>32</v>
      </c>
      <c r="D293" s="45" t="s">
        <v>296</v>
      </c>
      <c r="E293" s="45" t="s">
        <v>54</v>
      </c>
      <c r="F293" s="46">
        <v>34000</v>
      </c>
      <c r="G293" s="44" t="s">
        <v>75</v>
      </c>
    </row>
    <row r="294">
      <c r="A294" s="43">
        <v>46136</v>
      </c>
      <c r="B294" s="44" t="s">
        <v>20</v>
      </c>
      <c r="C294" s="45" t="s">
        <v>57</v>
      </c>
      <c r="D294" s="45" t="s">
        <v>126</v>
      </c>
      <c r="E294" s="45" t="s">
        <v>54</v>
      </c>
      <c r="F294" s="46">
        <v>154000</v>
      </c>
      <c r="G294" s="44" t="s">
        <v>75</v>
      </c>
    </row>
    <row r="295">
      <c r="A295" s="43">
        <v>46134</v>
      </c>
      <c r="B295" s="44" t="s">
        <v>21</v>
      </c>
      <c r="C295" s="45" t="s">
        <v>32</v>
      </c>
      <c r="D295" s="45" t="s">
        <v>297</v>
      </c>
      <c r="E295" s="45" t="s">
        <v>54</v>
      </c>
      <c r="F295" s="46">
        <v>47000</v>
      </c>
      <c r="G295" s="44" t="s">
        <v>75</v>
      </c>
    </row>
    <row r="296">
      <c r="A296" s="43">
        <v>46133</v>
      </c>
      <c r="B296" s="44" t="s">
        <v>21</v>
      </c>
      <c r="C296" s="45" t="s">
        <v>32</v>
      </c>
      <c r="D296" s="45" t="s">
        <v>298</v>
      </c>
      <c r="E296" s="45" t="s">
        <v>54</v>
      </c>
      <c r="F296" s="46">
        <v>45000</v>
      </c>
      <c r="G296" s="44" t="s">
        <v>75</v>
      </c>
    </row>
    <row r="297">
      <c r="A297" s="43">
        <v>46131</v>
      </c>
      <c r="B297" s="44" t="s">
        <v>21</v>
      </c>
      <c r="C297" s="45" t="s">
        <v>32</v>
      </c>
      <c r="D297" s="45" t="s">
        <v>125</v>
      </c>
      <c r="E297" s="45" t="s">
        <v>54</v>
      </c>
      <c r="F297" s="46">
        <v>25000</v>
      </c>
      <c r="G297" s="44" t="s">
        <v>75</v>
      </c>
    </row>
    <row r="298">
      <c r="A298" s="43">
        <v>46131</v>
      </c>
      <c r="B298" s="44" t="s">
        <v>21</v>
      </c>
      <c r="C298" s="45" t="s">
        <v>32</v>
      </c>
      <c r="D298" s="45" t="s">
        <v>299</v>
      </c>
      <c r="E298" s="45" t="s">
        <v>54</v>
      </c>
      <c r="F298" s="46">
        <v>10000</v>
      </c>
      <c r="G298" s="44" t="s">
        <v>75</v>
      </c>
    </row>
    <row r="299">
      <c r="A299" s="43">
        <v>46130</v>
      </c>
      <c r="B299" s="44" t="s">
        <v>21</v>
      </c>
      <c r="C299" s="45" t="s">
        <v>32</v>
      </c>
      <c r="D299" s="45" t="s">
        <v>300</v>
      </c>
      <c r="E299" s="45" t="s">
        <v>54</v>
      </c>
      <c r="F299" s="46">
        <v>40000</v>
      </c>
      <c r="G299" s="44" t="s">
        <v>75</v>
      </c>
    </row>
    <row r="300">
      <c r="A300" s="43">
        <v>46130</v>
      </c>
      <c r="B300" s="44" t="s">
        <v>21</v>
      </c>
      <c r="C300" s="45" t="s">
        <v>40</v>
      </c>
      <c r="D300" s="45" t="s">
        <v>284</v>
      </c>
      <c r="E300" s="45" t="s">
        <v>54</v>
      </c>
      <c r="F300" s="46">
        <v>60000</v>
      </c>
      <c r="G300" s="44" t="s">
        <v>75</v>
      </c>
    </row>
    <row r="301">
      <c r="A301" s="43">
        <v>46129</v>
      </c>
      <c r="B301" s="44" t="s">
        <v>21</v>
      </c>
      <c r="C301" s="45" t="s">
        <v>32</v>
      </c>
      <c r="D301" s="45" t="s">
        <v>78</v>
      </c>
      <c r="E301" s="45" t="s">
        <v>54</v>
      </c>
      <c r="F301" s="46">
        <v>15000</v>
      </c>
      <c r="G301" s="44" t="s">
        <v>75</v>
      </c>
    </row>
    <row r="302">
      <c r="A302" s="43">
        <v>46129</v>
      </c>
      <c r="B302" s="44" t="s">
        <v>21</v>
      </c>
      <c r="C302" s="45" t="s">
        <v>32</v>
      </c>
      <c r="D302" s="45" t="s">
        <v>301</v>
      </c>
      <c r="E302" s="45" t="s">
        <v>54</v>
      </c>
      <c r="F302" s="46">
        <v>30000</v>
      </c>
      <c r="G302" s="44" t="s">
        <v>75</v>
      </c>
    </row>
    <row r="303">
      <c r="A303" s="43">
        <v>46129</v>
      </c>
      <c r="B303" s="44" t="s">
        <v>21</v>
      </c>
      <c r="C303" s="45" t="s">
        <v>32</v>
      </c>
      <c r="D303" s="45" t="s">
        <v>302</v>
      </c>
      <c r="E303" s="45" t="s">
        <v>54</v>
      </c>
      <c r="F303" s="46">
        <v>50000</v>
      </c>
      <c r="G303" s="44" t="s">
        <v>75</v>
      </c>
    </row>
    <row r="304">
      <c r="A304" s="43">
        <v>46128</v>
      </c>
      <c r="B304" s="44" t="s">
        <v>21</v>
      </c>
      <c r="C304" s="45" t="s">
        <v>36</v>
      </c>
      <c r="D304" s="45" t="s">
        <v>272</v>
      </c>
      <c r="E304" s="45" t="s">
        <v>54</v>
      </c>
      <c r="F304" s="46">
        <v>5000</v>
      </c>
      <c r="G304" s="44" t="s">
        <v>75</v>
      </c>
    </row>
    <row r="305">
      <c r="A305" s="43">
        <v>46128</v>
      </c>
      <c r="B305" s="44" t="s">
        <v>21</v>
      </c>
      <c r="C305" s="45" t="s">
        <v>32</v>
      </c>
      <c r="D305" s="45" t="s">
        <v>274</v>
      </c>
      <c r="E305" s="45" t="s">
        <v>54</v>
      </c>
      <c r="F305" s="46">
        <v>15000</v>
      </c>
      <c r="G305" s="44" t="s">
        <v>75</v>
      </c>
    </row>
    <row r="306">
      <c r="A306" s="43">
        <v>46128</v>
      </c>
      <c r="B306" s="44" t="s">
        <v>21</v>
      </c>
      <c r="C306" s="45" t="s">
        <v>32</v>
      </c>
      <c r="D306" s="45" t="s">
        <v>303</v>
      </c>
      <c r="E306" s="45" t="s">
        <v>54</v>
      </c>
      <c r="F306" s="46">
        <v>30000</v>
      </c>
      <c r="G306" s="44" t="s">
        <v>75</v>
      </c>
    </row>
    <row r="307">
      <c r="A307" s="43">
        <v>46128</v>
      </c>
      <c r="B307" s="44" t="s">
        <v>21</v>
      </c>
      <c r="C307" s="45" t="s">
        <v>32</v>
      </c>
      <c r="D307" s="45" t="s">
        <v>304</v>
      </c>
      <c r="E307" s="45" t="s">
        <v>54</v>
      </c>
      <c r="F307" s="46">
        <v>35000</v>
      </c>
      <c r="G307" s="44" t="s">
        <v>75</v>
      </c>
    </row>
    <row r="308">
      <c r="A308" s="43">
        <v>46127</v>
      </c>
      <c r="B308" s="44" t="s">
        <v>21</v>
      </c>
      <c r="C308" s="45" t="s">
        <v>32</v>
      </c>
      <c r="D308" s="45" t="s">
        <v>305</v>
      </c>
      <c r="E308" s="45" t="s">
        <v>54</v>
      </c>
      <c r="F308" s="46">
        <v>32000</v>
      </c>
      <c r="G308" s="44" t="s">
        <v>75</v>
      </c>
    </row>
    <row r="309">
      <c r="A309" s="43">
        <v>46127</v>
      </c>
      <c r="B309" s="44" t="s">
        <v>21</v>
      </c>
      <c r="C309" s="45" t="s">
        <v>35</v>
      </c>
      <c r="D309" s="45" t="s">
        <v>306</v>
      </c>
      <c r="E309" s="45" t="s">
        <v>54</v>
      </c>
      <c r="F309" s="46">
        <v>30000</v>
      </c>
      <c r="G309" s="44" t="s">
        <v>75</v>
      </c>
    </row>
    <row r="310">
      <c r="A310" s="43">
        <v>46127</v>
      </c>
      <c r="B310" s="44" t="s">
        <v>20</v>
      </c>
      <c r="C310" s="45" t="s">
        <v>53</v>
      </c>
      <c r="D310" s="45" t="s">
        <v>307</v>
      </c>
      <c r="E310" s="45" t="s">
        <v>54</v>
      </c>
      <c r="F310" s="46">
        <v>403000</v>
      </c>
      <c r="G310" s="44" t="s">
        <v>75</v>
      </c>
    </row>
    <row r="311">
      <c r="A311" s="43">
        <v>46126</v>
      </c>
      <c r="B311" s="44" t="s">
        <v>21</v>
      </c>
      <c r="C311" s="45" t="s">
        <v>36</v>
      </c>
      <c r="D311" s="45" t="s">
        <v>308</v>
      </c>
      <c r="E311" s="45" t="s">
        <v>54</v>
      </c>
      <c r="F311" s="46">
        <v>5000</v>
      </c>
      <c r="G311" s="44" t="s">
        <v>75</v>
      </c>
    </row>
    <row r="312">
      <c r="A312" s="43">
        <v>46125</v>
      </c>
      <c r="B312" s="44" t="s">
        <v>21</v>
      </c>
      <c r="C312" s="45" t="s">
        <v>32</v>
      </c>
      <c r="D312" s="45" t="s">
        <v>309</v>
      </c>
      <c r="E312" s="45" t="s">
        <v>54</v>
      </c>
      <c r="F312" s="46">
        <v>47000</v>
      </c>
      <c r="G312" s="44" t="s">
        <v>75</v>
      </c>
    </row>
    <row r="313">
      <c r="A313" s="43">
        <v>46124</v>
      </c>
      <c r="B313" s="44" t="s">
        <v>21</v>
      </c>
      <c r="C313" s="45" t="s">
        <v>34</v>
      </c>
      <c r="D313" s="45" t="s">
        <v>310</v>
      </c>
      <c r="E313" s="45" t="s">
        <v>54</v>
      </c>
      <c r="F313" s="46">
        <v>60000</v>
      </c>
      <c r="G313" s="44" t="s">
        <v>75</v>
      </c>
    </row>
    <row r="314">
      <c r="A314" s="43">
        <v>46123</v>
      </c>
      <c r="B314" s="44" t="s">
        <v>21</v>
      </c>
      <c r="C314" s="45" t="s">
        <v>40</v>
      </c>
      <c r="D314" s="45" t="s">
        <v>284</v>
      </c>
      <c r="E314" s="45" t="s">
        <v>54</v>
      </c>
      <c r="F314" s="46">
        <v>20000</v>
      </c>
      <c r="G314" s="44" t="s">
        <v>75</v>
      </c>
    </row>
    <row r="315">
      <c r="A315" s="43">
        <v>46123</v>
      </c>
      <c r="B315" s="44" t="s">
        <v>21</v>
      </c>
      <c r="C315" s="45" t="s">
        <v>40</v>
      </c>
      <c r="D315" s="45" t="s">
        <v>311</v>
      </c>
      <c r="E315" s="45" t="s">
        <v>54</v>
      </c>
      <c r="F315" s="46">
        <v>500000</v>
      </c>
      <c r="G315" s="44" t="s">
        <v>75</v>
      </c>
    </row>
    <row r="316">
      <c r="A316" s="43">
        <v>46123</v>
      </c>
      <c r="B316" s="44" t="s">
        <v>21</v>
      </c>
      <c r="C316" s="45" t="s">
        <v>40</v>
      </c>
      <c r="D316" s="45" t="s">
        <v>312</v>
      </c>
      <c r="E316" s="45" t="s">
        <v>54</v>
      </c>
      <c r="F316" s="46">
        <v>25000</v>
      </c>
      <c r="G316" s="44" t="s">
        <v>75</v>
      </c>
    </row>
    <row r="317">
      <c r="A317" s="43">
        <v>46123</v>
      </c>
      <c r="B317" s="44" t="s">
        <v>20</v>
      </c>
      <c r="C317" s="45" t="s">
        <v>53</v>
      </c>
      <c r="D317" s="45" t="s">
        <v>307</v>
      </c>
      <c r="E317" s="45" t="s">
        <v>54</v>
      </c>
      <c r="F317" s="46">
        <v>402000</v>
      </c>
      <c r="G317" s="44" t="s">
        <v>75</v>
      </c>
    </row>
    <row r="318">
      <c r="A318" s="43">
        <v>46123</v>
      </c>
      <c r="B318" s="44" t="s">
        <v>20</v>
      </c>
      <c r="C318" s="45" t="s">
        <v>47</v>
      </c>
      <c r="D318" s="45" t="s">
        <v>313</v>
      </c>
      <c r="E318" s="45" t="s">
        <v>54</v>
      </c>
      <c r="F318" s="46">
        <v>462000</v>
      </c>
      <c r="G318" s="44" t="s">
        <v>75</v>
      </c>
    </row>
    <row r="319">
      <c r="A319" s="43">
        <v>46123</v>
      </c>
      <c r="B319" s="44" t="s">
        <v>20</v>
      </c>
      <c r="C319" s="45" t="s">
        <v>47</v>
      </c>
      <c r="D319" s="45" t="s">
        <v>314</v>
      </c>
      <c r="E319" s="45" t="s">
        <v>54</v>
      </c>
      <c r="F319" s="46">
        <v>480000</v>
      </c>
      <c r="G319" s="44" t="s">
        <v>75</v>
      </c>
    </row>
    <row r="320">
      <c r="A320" s="43">
        <v>46122</v>
      </c>
      <c r="B320" s="44" t="s">
        <v>21</v>
      </c>
      <c r="C320" s="45" t="s">
        <v>32</v>
      </c>
      <c r="D320" s="45" t="s">
        <v>315</v>
      </c>
      <c r="E320" s="45" t="s">
        <v>54</v>
      </c>
      <c r="F320" s="46">
        <v>20000</v>
      </c>
      <c r="G320" s="44" t="s">
        <v>75</v>
      </c>
    </row>
    <row r="321">
      <c r="A321" s="43">
        <v>46122</v>
      </c>
      <c r="B321" s="44" t="s">
        <v>21</v>
      </c>
      <c r="C321" s="45" t="s">
        <v>32</v>
      </c>
      <c r="D321" s="45" t="s">
        <v>125</v>
      </c>
      <c r="E321" s="45" t="s">
        <v>54</v>
      </c>
      <c r="F321" s="46">
        <v>25000</v>
      </c>
      <c r="G321" s="44" t="s">
        <v>75</v>
      </c>
    </row>
    <row r="322">
      <c r="A322" s="43">
        <v>46122</v>
      </c>
      <c r="B322" s="44" t="s">
        <v>21</v>
      </c>
      <c r="C322" s="45" t="s">
        <v>32</v>
      </c>
      <c r="D322" s="45" t="s">
        <v>316</v>
      </c>
      <c r="E322" s="45" t="s">
        <v>54</v>
      </c>
      <c r="F322" s="46">
        <v>30000</v>
      </c>
      <c r="G322" s="44" t="s">
        <v>75</v>
      </c>
    </row>
    <row r="323">
      <c r="A323" s="43">
        <v>46122</v>
      </c>
      <c r="B323" s="44" t="s">
        <v>21</v>
      </c>
      <c r="C323" s="45" t="s">
        <v>40</v>
      </c>
      <c r="D323" s="45" t="s">
        <v>317</v>
      </c>
      <c r="E323" s="45" t="s">
        <v>54</v>
      </c>
      <c r="F323" s="46">
        <v>200000</v>
      </c>
      <c r="G323" s="44" t="s">
        <v>75</v>
      </c>
    </row>
    <row r="324">
      <c r="A324" s="43">
        <v>46121</v>
      </c>
      <c r="B324" s="44" t="s">
        <v>21</v>
      </c>
      <c r="C324" s="45" t="s">
        <v>32</v>
      </c>
      <c r="D324" s="45" t="s">
        <v>318</v>
      </c>
      <c r="E324" s="45" t="s">
        <v>54</v>
      </c>
      <c r="F324" s="46">
        <v>29000</v>
      </c>
      <c r="G324" s="44" t="s">
        <v>75</v>
      </c>
    </row>
    <row r="325">
      <c r="A325" s="43">
        <v>46121</v>
      </c>
      <c r="B325" s="44" t="s">
        <v>21</v>
      </c>
      <c r="C325" s="45" t="s">
        <v>34</v>
      </c>
      <c r="D325" s="45" t="s">
        <v>319</v>
      </c>
      <c r="E325" s="45" t="s">
        <v>54</v>
      </c>
      <c r="F325" s="46">
        <v>240000</v>
      </c>
      <c r="G325" s="44" t="s">
        <v>75</v>
      </c>
    </row>
    <row r="326">
      <c r="A326" s="43">
        <v>46121</v>
      </c>
      <c r="B326" s="44" t="s">
        <v>21</v>
      </c>
      <c r="C326" s="45" t="s">
        <v>34</v>
      </c>
      <c r="D326" s="45" t="s">
        <v>320</v>
      </c>
      <c r="E326" s="45" t="s">
        <v>54</v>
      </c>
      <c r="F326" s="46">
        <v>5000</v>
      </c>
      <c r="G326" s="44" t="s">
        <v>75</v>
      </c>
    </row>
    <row r="327">
      <c r="A327" s="43">
        <v>46120</v>
      </c>
      <c r="B327" s="44" t="s">
        <v>21</v>
      </c>
      <c r="C327" s="45" t="s">
        <v>32</v>
      </c>
      <c r="D327" s="45" t="s">
        <v>321</v>
      </c>
      <c r="E327" s="45" t="s">
        <v>54</v>
      </c>
      <c r="F327" s="46">
        <v>25000</v>
      </c>
      <c r="G327" s="44" t="s">
        <v>75</v>
      </c>
    </row>
    <row r="328">
      <c r="A328" s="43">
        <v>46119</v>
      </c>
      <c r="B328" s="44" t="s">
        <v>21</v>
      </c>
      <c r="C328" s="45" t="s">
        <v>32</v>
      </c>
      <c r="D328" s="45" t="s">
        <v>322</v>
      </c>
      <c r="E328" s="45" t="s">
        <v>54</v>
      </c>
      <c r="F328" s="46">
        <v>25000</v>
      </c>
      <c r="G328" s="44" t="s">
        <v>75</v>
      </c>
    </row>
    <row r="329">
      <c r="A329" s="43">
        <v>46119</v>
      </c>
      <c r="B329" s="44" t="s">
        <v>21</v>
      </c>
      <c r="C329" s="45" t="s">
        <v>40</v>
      </c>
      <c r="D329" s="45" t="s">
        <v>323</v>
      </c>
      <c r="E329" s="45" t="s">
        <v>54</v>
      </c>
      <c r="F329" s="46">
        <v>50000</v>
      </c>
      <c r="G329" s="44" t="s">
        <v>75</v>
      </c>
    </row>
    <row r="330">
      <c r="A330" s="43">
        <v>46119</v>
      </c>
      <c r="B330" s="44" t="s">
        <v>21</v>
      </c>
      <c r="C330" s="45" t="s">
        <v>32</v>
      </c>
      <c r="D330" s="45" t="s">
        <v>324</v>
      </c>
      <c r="E330" s="45" t="s">
        <v>54</v>
      </c>
      <c r="F330" s="46">
        <v>25000</v>
      </c>
      <c r="G330" s="44" t="s">
        <v>75</v>
      </c>
    </row>
    <row r="331">
      <c r="A331" s="43">
        <v>46119</v>
      </c>
      <c r="B331" s="44" t="s">
        <v>21</v>
      </c>
      <c r="C331" s="45" t="s">
        <v>32</v>
      </c>
      <c r="D331" s="45" t="s">
        <v>325</v>
      </c>
      <c r="E331" s="45" t="s">
        <v>54</v>
      </c>
      <c r="F331" s="46">
        <v>12000</v>
      </c>
      <c r="G331" s="44" t="s">
        <v>75</v>
      </c>
    </row>
    <row r="332">
      <c r="A332" s="43">
        <v>46119</v>
      </c>
      <c r="B332" s="44" t="s">
        <v>21</v>
      </c>
      <c r="C332" s="45" t="s">
        <v>40</v>
      </c>
      <c r="D332" s="45" t="s">
        <v>284</v>
      </c>
      <c r="E332" s="45" t="s">
        <v>54</v>
      </c>
      <c r="F332" s="46">
        <v>20000</v>
      </c>
      <c r="G332" s="44" t="s">
        <v>75</v>
      </c>
    </row>
    <row r="333">
      <c r="A333" s="43">
        <v>46118</v>
      </c>
      <c r="B333" s="44" t="s">
        <v>21</v>
      </c>
      <c r="C333" s="45" t="s">
        <v>32</v>
      </c>
      <c r="D333" s="45" t="s">
        <v>326</v>
      </c>
      <c r="E333" s="45" t="s">
        <v>54</v>
      </c>
      <c r="F333" s="46">
        <v>20000</v>
      </c>
      <c r="G333" s="44" t="s">
        <v>75</v>
      </c>
    </row>
    <row r="334">
      <c r="A334" s="43">
        <v>46118</v>
      </c>
      <c r="B334" s="44" t="s">
        <v>21</v>
      </c>
      <c r="C334" s="45" t="s">
        <v>32</v>
      </c>
      <c r="D334" s="45" t="s">
        <v>324</v>
      </c>
      <c r="E334" s="45" t="s">
        <v>54</v>
      </c>
      <c r="F334" s="46">
        <v>25000</v>
      </c>
      <c r="G334" s="44" t="s">
        <v>75</v>
      </c>
    </row>
    <row r="335">
      <c r="A335" s="43">
        <v>46117</v>
      </c>
      <c r="B335" s="44" t="s">
        <v>21</v>
      </c>
      <c r="C335" s="45" t="s">
        <v>32</v>
      </c>
      <c r="D335" s="45" t="s">
        <v>324</v>
      </c>
      <c r="E335" s="45" t="s">
        <v>54</v>
      </c>
      <c r="F335" s="46">
        <v>30000</v>
      </c>
      <c r="G335" s="44" t="s">
        <v>75</v>
      </c>
    </row>
    <row r="336">
      <c r="A336" s="43">
        <v>46117</v>
      </c>
      <c r="B336" s="44" t="s">
        <v>21</v>
      </c>
      <c r="C336" s="45" t="s">
        <v>40</v>
      </c>
      <c r="D336" s="45" t="s">
        <v>327</v>
      </c>
      <c r="E336" s="45" t="s">
        <v>54</v>
      </c>
      <c r="F336" s="46">
        <v>1000000</v>
      </c>
      <c r="G336" s="44" t="s">
        <v>75</v>
      </c>
    </row>
    <row r="337">
      <c r="A337" s="43">
        <v>46116</v>
      </c>
      <c r="B337" s="44" t="s">
        <v>21</v>
      </c>
      <c r="C337" s="45" t="s">
        <v>32</v>
      </c>
      <c r="D337" s="45" t="s">
        <v>328</v>
      </c>
      <c r="E337" s="45" t="s">
        <v>54</v>
      </c>
      <c r="F337" s="46">
        <v>30000</v>
      </c>
      <c r="G337" s="44" t="s">
        <v>75</v>
      </c>
    </row>
    <row r="338">
      <c r="A338" s="43">
        <v>46116</v>
      </c>
      <c r="B338" s="44" t="s">
        <v>21</v>
      </c>
      <c r="C338" s="45" t="s">
        <v>38</v>
      </c>
      <c r="D338" s="45" t="s">
        <v>329</v>
      </c>
      <c r="E338" s="45" t="s">
        <v>54</v>
      </c>
      <c r="F338" s="46">
        <v>300000</v>
      </c>
      <c r="G338" s="44" t="s">
        <v>75</v>
      </c>
    </row>
    <row r="339">
      <c r="A339" s="43">
        <v>46115</v>
      </c>
      <c r="B339" s="44" t="s">
        <v>21</v>
      </c>
      <c r="C339" s="45" t="s">
        <v>32</v>
      </c>
      <c r="D339" s="45" t="s">
        <v>330</v>
      </c>
      <c r="E339" s="45" t="s">
        <v>54</v>
      </c>
      <c r="F339" s="46">
        <v>33000</v>
      </c>
      <c r="G339" s="44" t="s">
        <v>75</v>
      </c>
    </row>
    <row r="340">
      <c r="A340" s="43">
        <v>46115</v>
      </c>
      <c r="B340" s="44" t="s">
        <v>21</v>
      </c>
      <c r="C340" s="45" t="s">
        <v>32</v>
      </c>
      <c r="D340" s="45" t="s">
        <v>331</v>
      </c>
      <c r="E340" s="45" t="s">
        <v>54</v>
      </c>
      <c r="F340" s="46">
        <v>18000</v>
      </c>
      <c r="G340" s="44" t="s">
        <v>75</v>
      </c>
    </row>
    <row r="341">
      <c r="A341" s="43">
        <v>46115</v>
      </c>
      <c r="B341" s="44" t="s">
        <v>21</v>
      </c>
      <c r="C341" s="45" t="s">
        <v>31</v>
      </c>
      <c r="D341" s="45" t="s">
        <v>289</v>
      </c>
      <c r="E341" s="45" t="s">
        <v>54</v>
      </c>
      <c r="F341" s="46">
        <v>1760000</v>
      </c>
      <c r="G341" s="44" t="s">
        <v>75</v>
      </c>
    </row>
    <row r="342">
      <c r="A342" s="43">
        <v>46114</v>
      </c>
      <c r="B342" s="44" t="s">
        <v>21</v>
      </c>
      <c r="C342" s="45" t="s">
        <v>32</v>
      </c>
      <c r="D342" s="45" t="s">
        <v>78</v>
      </c>
      <c r="E342" s="45" t="s">
        <v>54</v>
      </c>
      <c r="F342" s="46">
        <v>15000</v>
      </c>
      <c r="G342" s="44" t="s">
        <v>75</v>
      </c>
    </row>
    <row r="343">
      <c r="A343" s="43">
        <v>46114</v>
      </c>
      <c r="B343" s="44" t="s">
        <v>21</v>
      </c>
      <c r="C343" s="45" t="s">
        <v>32</v>
      </c>
      <c r="D343" s="45" t="s">
        <v>324</v>
      </c>
      <c r="E343" s="45" t="s">
        <v>54</v>
      </c>
      <c r="F343" s="46">
        <v>25000</v>
      </c>
      <c r="G343" s="44" t="s">
        <v>75</v>
      </c>
    </row>
    <row r="344">
      <c r="A344" s="43">
        <v>46114</v>
      </c>
      <c r="B344" s="44" t="s">
        <v>21</v>
      </c>
      <c r="C344" s="45" t="s">
        <v>32</v>
      </c>
      <c r="D344" s="45" t="s">
        <v>324</v>
      </c>
      <c r="E344" s="45" t="s">
        <v>54</v>
      </c>
      <c r="F344" s="46">
        <v>25000</v>
      </c>
      <c r="G344" s="44" t="s">
        <v>75</v>
      </c>
    </row>
    <row r="345">
      <c r="A345" s="43">
        <v>46113</v>
      </c>
      <c r="B345" s="44" t="s">
        <v>21</v>
      </c>
      <c r="C345" s="45" t="s">
        <v>32</v>
      </c>
      <c r="D345" s="45" t="s">
        <v>299</v>
      </c>
      <c r="E345" s="45" t="s">
        <v>54</v>
      </c>
      <c r="F345" s="46">
        <v>10000</v>
      </c>
      <c r="G345" s="44" t="s">
        <v>75</v>
      </c>
    </row>
    <row r="346">
      <c r="A346" s="43">
        <v>46112</v>
      </c>
      <c r="B346" s="44" t="s">
        <v>21</v>
      </c>
      <c r="C346" s="45" t="s">
        <v>32</v>
      </c>
      <c r="D346" s="45" t="s">
        <v>274</v>
      </c>
      <c r="E346" s="45" t="s">
        <v>54</v>
      </c>
      <c r="F346" s="46">
        <v>15000</v>
      </c>
      <c r="G346" s="44" t="s">
        <v>75</v>
      </c>
    </row>
    <row r="347">
      <c r="A347" s="43">
        <v>46112</v>
      </c>
      <c r="B347" s="44" t="s">
        <v>21</v>
      </c>
      <c r="C347" s="45" t="s">
        <v>35</v>
      </c>
      <c r="D347" s="45" t="s">
        <v>332</v>
      </c>
      <c r="E347" s="45" t="s">
        <v>54</v>
      </c>
      <c r="F347" s="46">
        <v>50000</v>
      </c>
      <c r="G347" s="44" t="s">
        <v>75</v>
      </c>
    </row>
    <row r="348">
      <c r="A348" s="43">
        <v>46112</v>
      </c>
      <c r="B348" s="44" t="s">
        <v>21</v>
      </c>
      <c r="C348" s="45" t="s">
        <v>34</v>
      </c>
      <c r="D348" s="45" t="s">
        <v>324</v>
      </c>
      <c r="E348" s="45" t="s">
        <v>54</v>
      </c>
      <c r="F348" s="46">
        <v>25000</v>
      </c>
      <c r="G348" s="44" t="s">
        <v>75</v>
      </c>
    </row>
    <row r="349">
      <c r="A349" s="43">
        <v>46112</v>
      </c>
      <c r="B349" s="44" t="s">
        <v>21</v>
      </c>
      <c r="C349" s="45" t="s">
        <v>32</v>
      </c>
      <c r="D349" s="45" t="s">
        <v>324</v>
      </c>
      <c r="E349" s="45" t="s">
        <v>54</v>
      </c>
      <c r="F349" s="46">
        <v>25000</v>
      </c>
      <c r="G349" s="44" t="s">
        <v>75</v>
      </c>
    </row>
    <row r="350">
      <c r="A350" s="43">
        <v>46111</v>
      </c>
      <c r="B350" s="44" t="s">
        <v>21</v>
      </c>
      <c r="C350" s="45" t="s">
        <v>32</v>
      </c>
      <c r="D350" s="45" t="s">
        <v>333</v>
      </c>
      <c r="E350" s="45" t="s">
        <v>54</v>
      </c>
      <c r="F350" s="46">
        <v>36000</v>
      </c>
      <c r="G350" s="44" t="s">
        <v>75</v>
      </c>
    </row>
    <row r="351">
      <c r="A351" s="43">
        <v>46111</v>
      </c>
      <c r="B351" s="44" t="s">
        <v>21</v>
      </c>
      <c r="C351" s="45" t="s">
        <v>35</v>
      </c>
      <c r="D351" s="45" t="s">
        <v>334</v>
      </c>
      <c r="E351" s="45" t="s">
        <v>54</v>
      </c>
      <c r="F351" s="46">
        <v>53000</v>
      </c>
      <c r="G351" s="44" t="s">
        <v>75</v>
      </c>
    </row>
    <row r="352">
      <c r="A352" s="43">
        <v>46111</v>
      </c>
      <c r="B352" s="44" t="s">
        <v>21</v>
      </c>
      <c r="C352" s="45" t="s">
        <v>40</v>
      </c>
      <c r="D352" s="45" t="s">
        <v>284</v>
      </c>
      <c r="E352" s="45" t="s">
        <v>54</v>
      </c>
      <c r="F352" s="46">
        <v>20000</v>
      </c>
      <c r="G352" s="44" t="s">
        <v>75</v>
      </c>
    </row>
    <row r="353">
      <c r="A353" s="43">
        <v>46111</v>
      </c>
      <c r="B353" s="44" t="s">
        <v>20</v>
      </c>
      <c r="C353" s="45" t="s">
        <v>57</v>
      </c>
      <c r="D353" s="45" t="s">
        <v>335</v>
      </c>
      <c r="E353" s="45" t="s">
        <v>54</v>
      </c>
      <c r="F353" s="46">
        <v>3000000</v>
      </c>
      <c r="G353" s="44" t="s">
        <v>75</v>
      </c>
    </row>
    <row r="354">
      <c r="A354" s="43">
        <v>46110</v>
      </c>
      <c r="B354" s="44" t="s">
        <v>21</v>
      </c>
      <c r="C354" s="45" t="s">
        <v>32</v>
      </c>
      <c r="D354" s="45" t="s">
        <v>299</v>
      </c>
      <c r="E354" s="45" t="s">
        <v>54</v>
      </c>
      <c r="F354" s="46">
        <v>8000</v>
      </c>
      <c r="G354" s="44" t="s">
        <v>75</v>
      </c>
    </row>
    <row r="355">
      <c r="A355" s="43">
        <v>46109</v>
      </c>
      <c r="B355" s="44" t="s">
        <v>21</v>
      </c>
      <c r="C355" s="45" t="s">
        <v>32</v>
      </c>
      <c r="D355" s="45" t="s">
        <v>336</v>
      </c>
      <c r="E355" s="45" t="s">
        <v>54</v>
      </c>
      <c r="F355" s="46">
        <v>30000</v>
      </c>
      <c r="G355" s="44" t="s">
        <v>75</v>
      </c>
    </row>
    <row r="356">
      <c r="A356" s="43">
        <v>46109</v>
      </c>
      <c r="B356" s="44" t="s">
        <v>21</v>
      </c>
      <c r="C356" s="45" t="s">
        <v>35</v>
      </c>
      <c r="D356" s="45" t="s">
        <v>337</v>
      </c>
      <c r="E356" s="45" t="s">
        <v>54</v>
      </c>
      <c r="F356" s="46">
        <v>20000</v>
      </c>
      <c r="G356" s="44" t="s">
        <v>75</v>
      </c>
    </row>
    <row r="357">
      <c r="A357" s="43">
        <v>46109</v>
      </c>
      <c r="B357" s="44" t="s">
        <v>21</v>
      </c>
      <c r="C357" s="45" t="s">
        <v>32</v>
      </c>
      <c r="D357" s="45" t="s">
        <v>338</v>
      </c>
      <c r="E357" s="45" t="s">
        <v>54</v>
      </c>
      <c r="F357" s="46">
        <v>30000</v>
      </c>
      <c r="G357" s="44" t="s">
        <v>75</v>
      </c>
    </row>
    <row r="358">
      <c r="A358" s="43">
        <v>46108</v>
      </c>
      <c r="B358" s="44" t="s">
        <v>21</v>
      </c>
      <c r="C358" s="45" t="s">
        <v>40</v>
      </c>
      <c r="D358" s="45" t="s">
        <v>339</v>
      </c>
      <c r="E358" s="45" t="s">
        <v>54</v>
      </c>
      <c r="F358" s="46">
        <v>20000</v>
      </c>
      <c r="G358" s="44" t="s">
        <v>75</v>
      </c>
    </row>
    <row r="359">
      <c r="A359" s="43">
        <v>46108</v>
      </c>
      <c r="B359" s="44" t="s">
        <v>21</v>
      </c>
      <c r="C359" s="45" t="s">
        <v>40</v>
      </c>
      <c r="D359" s="45" t="s">
        <v>340</v>
      </c>
      <c r="E359" s="45" t="s">
        <v>54</v>
      </c>
      <c r="F359" s="46">
        <v>25000</v>
      </c>
      <c r="G359" s="44" t="s">
        <v>75</v>
      </c>
    </row>
    <row r="360">
      <c r="A360" s="43">
        <v>46107</v>
      </c>
      <c r="B360" s="44" t="s">
        <v>21</v>
      </c>
      <c r="C360" s="45" t="s">
        <v>32</v>
      </c>
      <c r="D360" s="45" t="s">
        <v>341</v>
      </c>
      <c r="E360" s="45" t="s">
        <v>54</v>
      </c>
      <c r="F360" s="46">
        <v>46000</v>
      </c>
      <c r="G360" s="44" t="s">
        <v>75</v>
      </c>
    </row>
    <row r="361">
      <c r="A361" s="43">
        <v>46106</v>
      </c>
      <c r="B361" s="44" t="s">
        <v>21</v>
      </c>
      <c r="C361" s="45" t="s">
        <v>32</v>
      </c>
      <c r="D361" s="45" t="s">
        <v>324</v>
      </c>
      <c r="E361" s="45" t="s">
        <v>54</v>
      </c>
      <c r="F361" s="46">
        <v>50000</v>
      </c>
      <c r="G361" s="44" t="s">
        <v>75</v>
      </c>
    </row>
    <row r="362">
      <c r="A362" s="43">
        <v>46105</v>
      </c>
      <c r="B362" s="44" t="s">
        <v>21</v>
      </c>
      <c r="C362" s="45" t="s">
        <v>35</v>
      </c>
      <c r="D362" s="45" t="s">
        <v>342</v>
      </c>
      <c r="E362" s="45" t="s">
        <v>54</v>
      </c>
      <c r="F362" s="46">
        <v>20000</v>
      </c>
      <c r="G362" s="44" t="s">
        <v>75</v>
      </c>
    </row>
    <row r="363">
      <c r="A363" s="43">
        <v>46105</v>
      </c>
      <c r="B363" s="44" t="s">
        <v>21</v>
      </c>
      <c r="C363" s="45" t="s">
        <v>32</v>
      </c>
      <c r="D363" s="45" t="s">
        <v>324</v>
      </c>
      <c r="E363" s="45" t="s">
        <v>54</v>
      </c>
      <c r="F363" s="46">
        <v>25000</v>
      </c>
      <c r="G363" s="44" t="s">
        <v>75</v>
      </c>
    </row>
    <row r="364">
      <c r="A364" s="43">
        <v>46104</v>
      </c>
      <c r="B364" s="44" t="s">
        <v>21</v>
      </c>
      <c r="C364" s="45" t="s">
        <v>32</v>
      </c>
      <c r="D364" s="45" t="s">
        <v>343</v>
      </c>
      <c r="E364" s="45" t="s">
        <v>54</v>
      </c>
      <c r="F364" s="46">
        <v>45000</v>
      </c>
      <c r="G364" s="44" t="s">
        <v>75</v>
      </c>
    </row>
    <row r="365">
      <c r="A365" s="43">
        <v>46103</v>
      </c>
      <c r="B365" s="44" t="s">
        <v>21</v>
      </c>
      <c r="C365" s="45" t="s">
        <v>33</v>
      </c>
      <c r="D365" s="45" t="s">
        <v>344</v>
      </c>
      <c r="E365" s="45" t="s">
        <v>54</v>
      </c>
      <c r="F365" s="46">
        <v>245000</v>
      </c>
      <c r="G365" s="44" t="s">
        <v>75</v>
      </c>
    </row>
    <row r="366">
      <c r="A366" s="43">
        <v>46103</v>
      </c>
      <c r="B366" s="44" t="s">
        <v>21</v>
      </c>
      <c r="C366" s="45" t="s">
        <v>32</v>
      </c>
      <c r="D366" s="45" t="s">
        <v>324</v>
      </c>
      <c r="E366" s="45" t="s">
        <v>54</v>
      </c>
      <c r="F366" s="46">
        <v>30000</v>
      </c>
      <c r="G366" s="44" t="s">
        <v>75</v>
      </c>
    </row>
    <row r="367">
      <c r="A367" s="43">
        <v>46102</v>
      </c>
      <c r="B367" s="44" t="s">
        <v>21</v>
      </c>
      <c r="C367" s="45" t="s">
        <v>40</v>
      </c>
      <c r="D367" s="45" t="s">
        <v>345</v>
      </c>
      <c r="E367" s="45" t="s">
        <v>54</v>
      </c>
      <c r="F367" s="46">
        <v>20000</v>
      </c>
      <c r="G367" s="44" t="s">
        <v>75</v>
      </c>
    </row>
    <row r="368">
      <c r="A368" s="43">
        <v>46102</v>
      </c>
      <c r="B368" s="44" t="s">
        <v>21</v>
      </c>
      <c r="C368" s="45" t="s">
        <v>40</v>
      </c>
      <c r="D368" s="45" t="s">
        <v>346</v>
      </c>
      <c r="E368" s="45" t="s">
        <v>54</v>
      </c>
      <c r="F368" s="46">
        <v>10000</v>
      </c>
      <c r="G368" s="44" t="s">
        <v>75</v>
      </c>
    </row>
    <row r="369">
      <c r="A369" s="43">
        <v>46102</v>
      </c>
      <c r="B369" s="44" t="s">
        <v>21</v>
      </c>
      <c r="C369" s="45" t="s">
        <v>32</v>
      </c>
      <c r="D369" s="45" t="s">
        <v>347</v>
      </c>
      <c r="E369" s="45" t="s">
        <v>54</v>
      </c>
      <c r="F369" s="46">
        <v>25000</v>
      </c>
      <c r="G369" s="44" t="s">
        <v>75</v>
      </c>
    </row>
    <row r="370">
      <c r="A370" s="43">
        <v>46101</v>
      </c>
      <c r="B370" s="44" t="s">
        <v>21</v>
      </c>
      <c r="C370" s="45" t="s">
        <v>32</v>
      </c>
      <c r="D370" s="45" t="s">
        <v>299</v>
      </c>
      <c r="E370" s="45" t="s">
        <v>54</v>
      </c>
      <c r="F370" s="46">
        <v>10000</v>
      </c>
      <c r="G370" s="44" t="s">
        <v>75</v>
      </c>
    </row>
    <row r="371">
      <c r="A371" s="43">
        <v>46100</v>
      </c>
      <c r="B371" s="44" t="s">
        <v>21</v>
      </c>
      <c r="C371" s="45" t="s">
        <v>34</v>
      </c>
      <c r="D371" s="45" t="s">
        <v>348</v>
      </c>
      <c r="E371" s="45" t="s">
        <v>54</v>
      </c>
      <c r="F371" s="46">
        <v>200000</v>
      </c>
      <c r="G371" s="44" t="s">
        <v>75</v>
      </c>
    </row>
    <row r="372">
      <c r="A372" s="43">
        <v>46100</v>
      </c>
      <c r="B372" s="44" t="s">
        <v>21</v>
      </c>
      <c r="C372" s="45" t="s">
        <v>32</v>
      </c>
      <c r="D372" s="45" t="s">
        <v>349</v>
      </c>
      <c r="E372" s="45" t="s">
        <v>54</v>
      </c>
      <c r="F372" s="46">
        <v>30000</v>
      </c>
      <c r="G372" s="44" t="s">
        <v>75</v>
      </c>
    </row>
    <row r="373">
      <c r="A373" s="43">
        <v>46100</v>
      </c>
      <c r="B373" s="44" t="s">
        <v>21</v>
      </c>
      <c r="C373" s="45" t="s">
        <v>32</v>
      </c>
      <c r="D373" s="45" t="s">
        <v>324</v>
      </c>
      <c r="E373" s="45" t="s">
        <v>54</v>
      </c>
      <c r="F373" s="46">
        <v>25000</v>
      </c>
      <c r="G373" s="44" t="s">
        <v>75</v>
      </c>
    </row>
    <row r="374">
      <c r="A374" s="43">
        <v>46099</v>
      </c>
      <c r="B374" s="44" t="s">
        <v>21</v>
      </c>
      <c r="C374" s="45" t="s">
        <v>32</v>
      </c>
      <c r="D374" s="45" t="s">
        <v>324</v>
      </c>
      <c r="E374" s="45" t="s">
        <v>54</v>
      </c>
      <c r="F374" s="46">
        <v>30000</v>
      </c>
      <c r="G374" s="44" t="s">
        <v>75</v>
      </c>
    </row>
    <row r="375">
      <c r="A375" s="43">
        <v>46099</v>
      </c>
      <c r="B375" s="44" t="s">
        <v>21</v>
      </c>
      <c r="C375" s="45" t="s">
        <v>32</v>
      </c>
      <c r="D375" s="45" t="s">
        <v>350</v>
      </c>
      <c r="E375" s="45" t="s">
        <v>54</v>
      </c>
      <c r="F375" s="46">
        <v>5000</v>
      </c>
      <c r="G375" s="44" t="s">
        <v>75</v>
      </c>
    </row>
    <row r="376">
      <c r="A376" s="43">
        <v>46099</v>
      </c>
      <c r="B376" s="44" t="s">
        <v>21</v>
      </c>
      <c r="C376" s="45" t="s">
        <v>33</v>
      </c>
      <c r="D376" s="45" t="s">
        <v>351</v>
      </c>
      <c r="E376" s="45" t="s">
        <v>54</v>
      </c>
      <c r="F376" s="46">
        <v>81000</v>
      </c>
      <c r="G376" s="44" t="s">
        <v>75</v>
      </c>
    </row>
    <row r="377">
      <c r="A377" s="43">
        <v>46099</v>
      </c>
      <c r="B377" s="44" t="s">
        <v>21</v>
      </c>
      <c r="C377" s="45" t="s">
        <v>32</v>
      </c>
      <c r="D377" s="45" t="s">
        <v>352</v>
      </c>
      <c r="E377" s="45" t="s">
        <v>54</v>
      </c>
      <c r="F377" s="46">
        <v>170000</v>
      </c>
      <c r="G377" s="44" t="s">
        <v>75</v>
      </c>
    </row>
    <row r="378">
      <c r="A378" s="43">
        <v>46099</v>
      </c>
      <c r="B378" s="44" t="s">
        <v>20</v>
      </c>
      <c r="C378" s="45" t="s">
        <v>57</v>
      </c>
      <c r="D378" s="45" t="s">
        <v>286</v>
      </c>
      <c r="E378" s="45" t="s">
        <v>54</v>
      </c>
      <c r="F378" s="46">
        <v>600000</v>
      </c>
      <c r="G378" s="44" t="s">
        <v>75</v>
      </c>
    </row>
    <row r="379">
      <c r="A379" s="43">
        <v>46098</v>
      </c>
      <c r="B379" s="44" t="s">
        <v>21</v>
      </c>
      <c r="C379" s="45" t="s">
        <v>32</v>
      </c>
      <c r="D379" s="45" t="s">
        <v>324</v>
      </c>
      <c r="E379" s="45" t="s">
        <v>54</v>
      </c>
      <c r="F379" s="46">
        <v>25000</v>
      </c>
      <c r="G379" s="44" t="s">
        <v>75</v>
      </c>
    </row>
    <row r="380">
      <c r="A380" s="43">
        <v>46097</v>
      </c>
      <c r="B380" s="44" t="s">
        <v>21</v>
      </c>
      <c r="C380" s="45" t="s">
        <v>32</v>
      </c>
      <c r="D380" s="45" t="s">
        <v>324</v>
      </c>
      <c r="E380" s="45" t="s">
        <v>54</v>
      </c>
      <c r="F380" s="46">
        <v>25000</v>
      </c>
      <c r="G380" s="44" t="s">
        <v>75</v>
      </c>
    </row>
    <row r="381">
      <c r="A381" s="43">
        <v>46096</v>
      </c>
      <c r="B381" s="44" t="s">
        <v>20</v>
      </c>
      <c r="C381" s="45" t="s">
        <v>57</v>
      </c>
      <c r="D381" s="45" t="s">
        <v>81</v>
      </c>
      <c r="E381" s="45" t="s">
        <v>54</v>
      </c>
      <c r="F381" s="46">
        <v>210000</v>
      </c>
      <c r="G381" s="44" t="s">
        <v>75</v>
      </c>
    </row>
    <row r="382">
      <c r="A382" s="43">
        <v>46095</v>
      </c>
      <c r="B382" s="44" t="s">
        <v>21</v>
      </c>
      <c r="C382" s="45" t="s">
        <v>33</v>
      </c>
      <c r="D382" s="45" t="s">
        <v>353</v>
      </c>
      <c r="E382" s="45" t="s">
        <v>54</v>
      </c>
      <c r="F382" s="46">
        <v>70000</v>
      </c>
      <c r="G382" s="44" t="s">
        <v>75</v>
      </c>
    </row>
    <row r="383">
      <c r="A383" s="43">
        <v>46095</v>
      </c>
      <c r="B383" s="44" t="s">
        <v>21</v>
      </c>
      <c r="C383" s="45" t="s">
        <v>32</v>
      </c>
      <c r="D383" s="45" t="s">
        <v>354</v>
      </c>
      <c r="E383" s="45" t="s">
        <v>54</v>
      </c>
      <c r="F383" s="46">
        <v>45000</v>
      </c>
      <c r="G383" s="44" t="s">
        <v>75</v>
      </c>
    </row>
    <row r="384">
      <c r="A384" s="43">
        <v>46094</v>
      </c>
      <c r="B384" s="44" t="s">
        <v>21</v>
      </c>
      <c r="C384" s="45" t="s">
        <v>34</v>
      </c>
      <c r="D384" s="45" t="s">
        <v>355</v>
      </c>
      <c r="E384" s="45" t="s">
        <v>54</v>
      </c>
      <c r="F384" s="46">
        <v>40000</v>
      </c>
      <c r="G384" s="44" t="s">
        <v>75</v>
      </c>
    </row>
    <row r="385">
      <c r="A385" s="43">
        <v>46094</v>
      </c>
      <c r="B385" s="44" t="s">
        <v>21</v>
      </c>
      <c r="C385" s="45" t="s">
        <v>40</v>
      </c>
      <c r="D385" s="45" t="s">
        <v>356</v>
      </c>
      <c r="E385" s="45" t="s">
        <v>54</v>
      </c>
      <c r="F385" s="46">
        <v>10000</v>
      </c>
      <c r="G385" s="44" t="s">
        <v>75</v>
      </c>
    </row>
    <row r="386">
      <c r="A386" s="43">
        <v>46094</v>
      </c>
      <c r="B386" s="44" t="s">
        <v>20</v>
      </c>
      <c r="C386" s="45" t="s">
        <v>57</v>
      </c>
      <c r="D386" s="45" t="s">
        <v>357</v>
      </c>
      <c r="E386" s="45" t="s">
        <v>54</v>
      </c>
      <c r="F386" s="46">
        <v>17000</v>
      </c>
      <c r="G386" s="44" t="s">
        <v>75</v>
      </c>
    </row>
    <row r="387">
      <c r="A387" s="43">
        <v>46093</v>
      </c>
      <c r="B387" s="44" t="s">
        <v>21</v>
      </c>
      <c r="C387" s="45" t="s">
        <v>34</v>
      </c>
      <c r="D387" s="45" t="s">
        <v>299</v>
      </c>
      <c r="E387" s="45" t="s">
        <v>54</v>
      </c>
      <c r="F387" s="46">
        <v>10000</v>
      </c>
      <c r="G387" s="44" t="s">
        <v>75</v>
      </c>
    </row>
    <row r="388">
      <c r="A388" s="43">
        <v>46093</v>
      </c>
      <c r="B388" s="44" t="s">
        <v>21</v>
      </c>
      <c r="C388" s="45" t="s">
        <v>40</v>
      </c>
      <c r="D388" s="45" t="s">
        <v>339</v>
      </c>
      <c r="E388" s="45" t="s">
        <v>54</v>
      </c>
      <c r="F388" s="46">
        <v>20000</v>
      </c>
      <c r="G388" s="44" t="s">
        <v>75</v>
      </c>
    </row>
    <row r="389">
      <c r="A389" s="43">
        <v>46093</v>
      </c>
      <c r="B389" s="44" t="s">
        <v>21</v>
      </c>
      <c r="C389" s="45" t="s">
        <v>35</v>
      </c>
      <c r="D389" s="45" t="s">
        <v>358</v>
      </c>
      <c r="E389" s="45" t="s">
        <v>54</v>
      </c>
      <c r="F389" s="46">
        <v>65000</v>
      </c>
      <c r="G389" s="44" t="s">
        <v>75</v>
      </c>
    </row>
    <row r="390">
      <c r="A390" s="43">
        <v>46091</v>
      </c>
      <c r="B390" s="44" t="s">
        <v>21</v>
      </c>
      <c r="C390" s="45" t="s">
        <v>34</v>
      </c>
      <c r="D390" s="45" t="s">
        <v>359</v>
      </c>
      <c r="E390" s="45" t="s">
        <v>54</v>
      </c>
      <c r="F390" s="46">
        <v>28000</v>
      </c>
      <c r="G390" s="44" t="s">
        <v>75</v>
      </c>
    </row>
    <row r="391">
      <c r="A391" s="43">
        <v>46090</v>
      </c>
      <c r="B391" s="44" t="s">
        <v>21</v>
      </c>
      <c r="C391" s="45" t="s">
        <v>40</v>
      </c>
      <c r="D391" s="45" t="s">
        <v>339</v>
      </c>
      <c r="E391" s="45" t="s">
        <v>54</v>
      </c>
      <c r="F391" s="46">
        <v>20000</v>
      </c>
      <c r="G391" s="44" t="s">
        <v>75</v>
      </c>
    </row>
    <row r="392">
      <c r="A392" s="43">
        <v>46089</v>
      </c>
      <c r="B392" s="44" t="s">
        <v>21</v>
      </c>
      <c r="C392" s="45" t="s">
        <v>33</v>
      </c>
      <c r="D392" s="45" t="s">
        <v>360</v>
      </c>
      <c r="E392" s="45" t="s">
        <v>54</v>
      </c>
      <c r="F392" s="46">
        <v>154000</v>
      </c>
      <c r="G392" s="44" t="s">
        <v>75</v>
      </c>
    </row>
    <row r="393">
      <c r="A393" s="43">
        <v>46089</v>
      </c>
      <c r="B393" s="44" t="s">
        <v>20</v>
      </c>
      <c r="C393" s="45" t="s">
        <v>57</v>
      </c>
      <c r="D393" s="45" t="s">
        <v>361</v>
      </c>
      <c r="E393" s="45" t="s">
        <v>54</v>
      </c>
      <c r="F393" s="46">
        <v>500000</v>
      </c>
      <c r="G393" s="44" t="s">
        <v>75</v>
      </c>
    </row>
    <row r="394">
      <c r="A394" s="43">
        <v>46088</v>
      </c>
      <c r="B394" s="44" t="s">
        <v>21</v>
      </c>
      <c r="C394" s="45" t="s">
        <v>32</v>
      </c>
      <c r="D394" s="45" t="s">
        <v>362</v>
      </c>
      <c r="E394" s="45" t="s">
        <v>54</v>
      </c>
      <c r="F394" s="46">
        <v>25000</v>
      </c>
      <c r="G394" s="44" t="s">
        <v>75</v>
      </c>
    </row>
    <row r="395">
      <c r="A395" s="43">
        <v>46088</v>
      </c>
      <c r="B395" s="44" t="s">
        <v>21</v>
      </c>
      <c r="C395" s="45" t="s">
        <v>31</v>
      </c>
      <c r="D395" s="45" t="s">
        <v>363</v>
      </c>
      <c r="E395" s="45" t="s">
        <v>54</v>
      </c>
      <c r="F395" s="46">
        <v>1638000</v>
      </c>
      <c r="G395" s="44" t="s">
        <v>75</v>
      </c>
    </row>
    <row r="396">
      <c r="A396" s="43">
        <v>46087</v>
      </c>
      <c r="B396" s="44" t="s">
        <v>21</v>
      </c>
      <c r="C396" s="45" t="s">
        <v>34</v>
      </c>
      <c r="D396" s="45" t="s">
        <v>364</v>
      </c>
      <c r="E396" s="45" t="s">
        <v>54</v>
      </c>
      <c r="F396" s="46">
        <v>40000</v>
      </c>
      <c r="G396" s="44" t="s">
        <v>75</v>
      </c>
    </row>
    <row r="397">
      <c r="A397" s="43">
        <v>46083</v>
      </c>
      <c r="B397" s="44" t="s">
        <v>21</v>
      </c>
      <c r="C397" s="45" t="s">
        <v>40</v>
      </c>
      <c r="D397" s="45" t="s">
        <v>232</v>
      </c>
      <c r="E397" s="45" t="s">
        <v>54</v>
      </c>
      <c r="F397" s="46">
        <v>10000</v>
      </c>
      <c r="G397" s="44" t="s">
        <v>75</v>
      </c>
    </row>
    <row r="398">
      <c r="A398" s="43">
        <v>46083</v>
      </c>
      <c r="B398" s="44" t="s">
        <v>21</v>
      </c>
      <c r="C398" s="45" t="s">
        <v>34</v>
      </c>
      <c r="D398" s="45" t="s">
        <v>365</v>
      </c>
      <c r="E398" s="45" t="s">
        <v>54</v>
      </c>
      <c r="F398" s="46">
        <v>40000</v>
      </c>
      <c r="G398" s="44" t="s">
        <v>75</v>
      </c>
    </row>
    <row r="399">
      <c r="A399" s="43">
        <v>46083</v>
      </c>
      <c r="B399" s="44" t="s">
        <v>20</v>
      </c>
      <c r="C399" s="45" t="s">
        <v>57</v>
      </c>
      <c r="D399" s="45" t="s">
        <v>81</v>
      </c>
      <c r="E399" s="45" t="s">
        <v>54</v>
      </c>
      <c r="F399" s="46">
        <v>138000</v>
      </c>
      <c r="G399" s="44" t="s">
        <v>75</v>
      </c>
    </row>
    <row r="400">
      <c r="A400" s="43">
        <v>46082</v>
      </c>
      <c r="B400" s="44" t="s">
        <v>21</v>
      </c>
      <c r="C400" s="45" t="s">
        <v>34</v>
      </c>
      <c r="D400" s="45" t="s">
        <v>366</v>
      </c>
      <c r="E400" s="45" t="s">
        <v>54</v>
      </c>
      <c r="F400" s="46">
        <v>130000</v>
      </c>
      <c r="G400" s="44" t="s">
        <v>75</v>
      </c>
    </row>
    <row r="401">
      <c r="A401" s="43">
        <v>46082</v>
      </c>
      <c r="B401" s="44" t="s">
        <v>21</v>
      </c>
      <c r="C401" s="45" t="s">
        <v>32</v>
      </c>
      <c r="D401" s="45" t="s">
        <v>367</v>
      </c>
      <c r="E401" s="45" t="s">
        <v>54</v>
      </c>
      <c r="F401" s="46">
        <v>53000</v>
      </c>
      <c r="G401" s="44" t="s">
        <v>75</v>
      </c>
    </row>
    <row r="402">
      <c r="A402" s="43">
        <v>45935</v>
      </c>
      <c r="B402" s="44" t="s">
        <v>20</v>
      </c>
      <c r="C402" s="45" t="s">
        <v>57</v>
      </c>
      <c r="D402" s="45" t="s">
        <v>368</v>
      </c>
      <c r="E402" s="45" t="s">
        <v>54</v>
      </c>
      <c r="F402" s="46">
        <v>3552000</v>
      </c>
      <c r="G402" s="44" t="s">
        <v>75</v>
      </c>
    </row>
  </sheetData>
  <mergeCells count="4">
    <mergeCell ref="A1:G1"/>
    <mergeCell ref="A2:B2"/>
    <mergeCell ref="E2:F2"/>
    <mergeCell ref="A3:G3"/>
  </mergeCells>
  <conditionalFormatting sqref="F5:F10000">
    <cfRule type="expression" dxfId="0" priority="1">
      <formula>$B5="Thu nhập"</formula>
    </cfRule>
    <cfRule type="expression" dxfId="1" priority="2">
      <formula>$B5="Chi phí"</formula>
    </cfRule>
  </conditionalFormatting>
  <conditionalFormatting sqref="B5:B10000">
    <cfRule type="expression" dxfId="5" priority="3">
      <formula>$B5="Thu nhập"</formula>
    </cfRule>
    <cfRule type="expression" dxfId="3" priority="4">
      <formula>$B5="Chi phí"</formula>
    </cfRule>
  </conditionalFormatting>
  <conditionalFormatting sqref="G5:G10000">
    <cfRule type="expression" dxfId="6" priority="5">
      <formula>$G5="Không"</formula>
    </cfRule>
  </conditionalFormatting>
  <conditionalFormatting sqref="A5:G10000">
    <cfRule type="expression" dxfId="7" priority="6">
      <formula>AND($A5&lt;&gt;"",MOD(ROW(),2)=0)</formula>
    </cfRule>
  </conditionalFormatting>
  <dataValidations count="4">
    <dataValidation type="list" allowBlank="1" showInputMessage="1" showErrorMessage="1" errorTitle="Loại không hợp lệ" error="Chọn Thu nhập hoặc Chi phí." sqref="B5:B10000">
      <formula1>"Thu nhập,Chi phí"</formula1>
    </dataValidation>
    <dataValidation type="list" allowBlank="1" showInputMessage="1" showErrorMessage="1" errorTitle="Hạng mục" error="Chọn hạng mục trong danh sách (xem sheet Danh mục)." sqref="C5:C10000">
      <formula1>'Danh mục'!$B$4:$B$21</formula1>
    </dataValidation>
    <dataValidation type="list" allowBlank="1" showInputMessage="1" showErrorMessage="1" errorTitle="Nguồn tiền" error="Chọn nguồn tiền trong danh sách." sqref="E5:E10000">
      <formula1>"Tiền mặt,Chuyển khoản,Tiết kiệm,Chưa phân loại"</formula1>
    </dataValidation>
    <dataValidation type="list" allowBlank="1" showInputMessage="1" showErrorMessage="1" errorTitle="Tính báo cáo" error="Chọn Có hoặc Không." sqref="G5:G10000">
      <formula1>"Có,Không"</formula1>
    </dataValidation>
  </dataValidations>
  <pageMargins left="0.5" right="0.5" top="0.6" bottom="0.6" header="0.3" footer="0.3"/>
  <pageSetup paperSize="9" orientation="landscape" fitToWidth="1" fitToHeight="0"/>
  <headerFooter>
    <oddFooter>&amp;L&amp;8CashFlow&amp;C&amp;8&amp;A&amp;R&amp;8Trang &amp;P /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AA4B2"/>
    <pageSetUpPr fitToPage="1"/>
  </sheetPr>
  <dimension ref="A1:F27"/>
  <sheetViews>
    <sheetView workbookViewId="0"/>
  </sheetViews>
  <sheetFormatPr defaultRowHeight="15"/>
  <cols>
    <col min="1" max="1" width="12" customWidth="1"/>
    <col min="2" max="2" width="34" customWidth="1"/>
    <col min="3" max="3" width="3" customWidth="1"/>
    <col min="4" max="4" width="20" customWidth="1"/>
    <col min="5" max="5" width="3" customWidth="1"/>
    <col min="6" max="6" width="16" customWidth="1"/>
  </cols>
  <sheetData>
    <row r="1" ht="32" customHeight="1">
      <c r="A1" s="37" t="s">
        <v>369</v>
      </c>
      <c r="B1" s="37"/>
      <c r="C1" s="37"/>
      <c r="D1" s="37"/>
      <c r="E1" s="37"/>
      <c r="F1" s="37"/>
    </row>
    <row r="3">
      <c r="A3" s="42" t="s">
        <v>70</v>
      </c>
      <c r="B3" s="42" t="s">
        <v>26</v>
      </c>
      <c r="D3" s="42" t="s">
        <v>46</v>
      </c>
      <c r="F3" s="42" t="s">
        <v>73</v>
      </c>
    </row>
    <row r="4">
      <c r="A4" s="45" t="s">
        <v>21</v>
      </c>
      <c r="B4" s="45" t="s">
        <v>31</v>
      </c>
      <c r="D4" s="45" t="s">
        <v>48</v>
      </c>
      <c r="F4" s="45" t="s">
        <v>75</v>
      </c>
    </row>
    <row r="5">
      <c r="A5" s="45" t="s">
        <v>21</v>
      </c>
      <c r="B5" s="45" t="s">
        <v>32</v>
      </c>
      <c r="D5" s="45" t="s">
        <v>50</v>
      </c>
      <c r="F5" s="45" t="s">
        <v>90</v>
      </c>
    </row>
    <row r="6">
      <c r="A6" s="45" t="s">
        <v>21</v>
      </c>
      <c r="B6" s="45" t="s">
        <v>33</v>
      </c>
      <c r="D6" s="45" t="s">
        <v>52</v>
      </c>
    </row>
    <row r="7">
      <c r="A7" s="45" t="s">
        <v>21</v>
      </c>
      <c r="B7" s="45" t="s">
        <v>34</v>
      </c>
      <c r="D7" s="45" t="s">
        <v>54</v>
      </c>
    </row>
    <row r="8">
      <c r="A8" s="45" t="s">
        <v>21</v>
      </c>
      <c r="B8" s="45" t="s">
        <v>35</v>
      </c>
    </row>
    <row r="9">
      <c r="A9" s="45" t="s">
        <v>21</v>
      </c>
      <c r="B9" s="45" t="s">
        <v>36</v>
      </c>
    </row>
    <row r="10">
      <c r="A10" s="45" t="s">
        <v>21</v>
      </c>
      <c r="B10" s="45" t="s">
        <v>37</v>
      </c>
    </row>
    <row r="11">
      <c r="A11" s="45" t="s">
        <v>21</v>
      </c>
      <c r="B11" s="45" t="s">
        <v>38</v>
      </c>
    </row>
    <row r="12">
      <c r="A12" s="45" t="s">
        <v>21</v>
      </c>
      <c r="B12" s="45" t="s">
        <v>39</v>
      </c>
    </row>
    <row r="13">
      <c r="A13" s="45" t="s">
        <v>21</v>
      </c>
      <c r="B13" s="45" t="s">
        <v>40</v>
      </c>
    </row>
    <row r="14">
      <c r="A14" s="45" t="s">
        <v>21</v>
      </c>
      <c r="B14" s="45" t="s">
        <v>370</v>
      </c>
    </row>
    <row r="15">
      <c r="A15" s="45" t="s">
        <v>20</v>
      </c>
      <c r="B15" s="45" t="s">
        <v>47</v>
      </c>
    </row>
    <row r="16">
      <c r="A16" s="45" t="s">
        <v>20</v>
      </c>
      <c r="B16" s="45" t="s">
        <v>49</v>
      </c>
    </row>
    <row r="17">
      <c r="A17" s="45" t="s">
        <v>20</v>
      </c>
      <c r="B17" s="45" t="s">
        <v>51</v>
      </c>
    </row>
    <row r="18">
      <c r="A18" s="45" t="s">
        <v>20</v>
      </c>
      <c r="B18" s="45" t="s">
        <v>53</v>
      </c>
    </row>
    <row r="19">
      <c r="A19" s="45" t="s">
        <v>20</v>
      </c>
      <c r="B19" s="45" t="s">
        <v>55</v>
      </c>
    </row>
    <row r="20">
      <c r="A20" s="45" t="s">
        <v>20</v>
      </c>
      <c r="B20" s="45" t="s">
        <v>57</v>
      </c>
    </row>
    <row r="21">
      <c r="A21" s="45" t="s">
        <v>20</v>
      </c>
      <c r="B21" s="45" t="s">
        <v>88</v>
      </c>
    </row>
    <row r="23" ht="24" customHeight="1">
      <c r="A23" s="7" t="s">
        <v>371</v>
      </c>
      <c r="B23" s="7"/>
      <c r="C23" s="7"/>
      <c r="D23" s="7"/>
      <c r="E23" s="7"/>
      <c r="F23" s="7"/>
    </row>
    <row r="24" ht="30" customHeight="1">
      <c r="A24" s="20" t="s">
        <v>372</v>
      </c>
      <c r="B24" s="20"/>
      <c r="C24" s="20"/>
      <c r="D24" s="20"/>
      <c r="E24" s="20"/>
      <c r="F24" s="20"/>
    </row>
    <row r="25" ht="30" customHeight="1">
      <c r="A25" s="20" t="s">
        <v>373</v>
      </c>
      <c r="B25" s="20"/>
      <c r="C25" s="20"/>
      <c r="D25" s="20"/>
      <c r="E25" s="20"/>
      <c r="F25" s="20"/>
    </row>
    <row r="26" ht="30" customHeight="1">
      <c r="A26" s="20" t="s">
        <v>374</v>
      </c>
      <c r="B26" s="20"/>
      <c r="C26" s="20"/>
      <c r="D26" s="20"/>
      <c r="E26" s="20"/>
      <c r="F26" s="20"/>
    </row>
    <row r="27" ht="30" customHeight="1">
      <c r="A27" s="20" t="s">
        <v>375</v>
      </c>
      <c r="B27" s="20"/>
      <c r="C27" s="20"/>
      <c r="D27" s="20"/>
      <c r="E27" s="20"/>
      <c r="F27" s="20"/>
    </row>
  </sheetData>
  <mergeCells count="6">
    <mergeCell ref="A1:F1"/>
    <mergeCell ref="A23:F23"/>
    <mergeCell ref="A24:F24"/>
    <mergeCell ref="A25:F25"/>
    <mergeCell ref="A26:F26"/>
    <mergeCell ref="A27:F27"/>
  </mergeCells>
  <pageMargins left="0.5" right="0.5" top="0.6" bottom="0.6" header="0.3" footer="0.3"/>
  <pageSetup paperSize="9" orientation="portrait" fitToWidth="1" fitToHeight="0"/>
  <headerFooter>
    <oddFooter>&amp;L&amp;8CashFlow&amp;C&amp;8&amp;A&amp;R&amp;8Trang &amp;P / &amp;N</oddFooter>
  </headerFooter>
</worksheet>
</file>

<file path=docProps/app.xml><?xml version="1.0" encoding="utf-8"?>
<Properties xmlns="http://schemas.openxmlformats.org/officeDocument/2006/extended-properties">
  <Application>CashFlow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CashFlow — Báo cáo tài chính</dc:title>
  <dc:creator>CashFlow</dc:creator>
  <dcterms:created xsi:type="dcterms:W3CDTF">2026-10-18T05:25:49Z</dcterms:created>
  <dcterms:modified xsi:type="dcterms:W3CDTF">2026-10-18T05:25:49Z</dcterms:modified>
</cp:coreProperties>
</file>